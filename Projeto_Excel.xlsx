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161cf32894d6f/Documentos/"/>
    </mc:Choice>
  </mc:AlternateContent>
  <xr:revisionPtr revIDLastSave="1851" documentId="8_{B02662A9-EAE9-4F1A-80B3-3F0626FBB314}" xr6:coauthVersionLast="47" xr6:coauthVersionMax="47" xr10:uidLastSave="{A9109746-A414-4FCF-A308-4F4D7A2BD5B2}"/>
  <bookViews>
    <workbookView xWindow="-108" yWindow="-108" windowWidth="23256" windowHeight="12456" activeTab="3" xr2:uid="{88963335-51F9-4CC6-A20D-E2AE9E7E4231}"/>
  </bookViews>
  <sheets>
    <sheet name="Dados Brutos" sheetId="3" r:id="rId1"/>
    <sheet name="Power Query1" sheetId="15" r:id="rId2"/>
    <sheet name="KPIS" sheetId="16" r:id="rId3"/>
    <sheet name="Dashboard" sheetId="18" r:id="rId4"/>
  </sheets>
  <definedNames>
    <definedName name="DadosExternos_2" localSheetId="0" hidden="1">'Dados Brutos'!$A$1:$H$506</definedName>
    <definedName name="DadosExternos_6" localSheetId="1" hidden="1">'Power Query1'!$A$1:$K$486</definedName>
    <definedName name="SegmentaçãodeDados_Ano">#N/A</definedName>
    <definedName name="SegmentaçãodeDados_Mês">#N/A</definedName>
    <definedName name="SegmentaçãodeDados_Regiâo">#N/A</definedName>
  </definedNames>
  <calcPr calcId="191029"/>
  <pivotCaches>
    <pivotCache cacheId="15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18" l="1"/>
  <c r="F4" i="18"/>
  <c r="B3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847762-10B5-4B14-BCE2-010CC7727EEA}" keepAlive="1" name="Consulta - dados_campanhas (2)" description="Conexão com a consulta 'dados_campanhas (2)' na pasta de trabalho." type="5" refreshedVersion="8" background="1" saveData="1">
    <dbPr connection="Provider=Microsoft.Mashup.OleDb.1;Data Source=$Workbook$;Location=&quot;dados_campanhas (2)&quot;;Extended Properties=&quot;&quot;" command="SELECT * FROM [dados_campanhas (2)]"/>
  </connection>
  <connection id="2" xr16:uid="{1FAF81E5-737B-45EF-BD22-618AAFECA50F}" keepAlive="1" name="Consulta - Tabela3_2" description="Conexão com a consulta 'Tabela3_2' na pasta de trabalho." type="5" refreshedVersion="0" background="1">
    <dbPr connection="Provider=Microsoft.Mashup.OleDb.1;Data Source=$Workbook$;Location=Tabela3_2;Extended Properties=&quot;&quot;" command="SELECT * FROM [Tabela3_2]"/>
  </connection>
  <connection id="3" xr16:uid="{0D8616E1-16D2-49AF-AA5E-AAFAF6FA0585}" keepAlive="1" name="Consulta - Tabela3_3" description="Conexão com a consulta 'Tabela3_3' na pasta de trabalho." type="5" refreshedVersion="0" background="1" saveData="1">
    <dbPr connection="Provider=Microsoft.Mashup.OleDb.1;Data Source=$Workbook$;Location=Tabela3_3;Extended Properties=&quot;&quot;" command="SELECT * FROM [Tabela3_3]"/>
  </connection>
  <connection id="4" xr16:uid="{3FDA9DF3-0B74-40B4-90C3-A78F51262D27}" keepAlive="1" name="Consulta - Tabela3_4" description="Conexão com a consulta 'Tabela3_4' na pasta de trabalho." type="5" refreshedVersion="0" background="1" saveData="1">
    <dbPr connection="Provider=Microsoft.Mashup.OleDb.1;Data Source=$Workbook$;Location=Tabela3_4;Extended Properties=&quot;&quot;" command="SELECT * FROM [Tabela3_4]"/>
  </connection>
  <connection id="5" xr16:uid="{8D17AEE5-7CF4-4551-8965-1B8D0AF1CE9B}" keepAlive="1" name="Consulta - Tabela3_5" description="Conexão com a consulta 'Tabela3_5' na pasta de trabalho." type="5" refreshedVersion="8" background="1" saveData="1">
    <dbPr connection="Provider=Microsoft.Mashup.OleDb.1;Data Source=$Workbook$;Location=Tabela3_5;Extended Properties=&quot;&quot;" command="SELECT * FROM [Tabela3_5]"/>
  </connection>
</connections>
</file>

<file path=xl/sharedStrings.xml><?xml version="1.0" encoding="utf-8"?>
<sst xmlns="http://schemas.openxmlformats.org/spreadsheetml/2006/main" count="3512" uniqueCount="53">
  <si>
    <t>ID_Venda</t>
  </si>
  <si>
    <t>Data</t>
  </si>
  <si>
    <t>Campanha</t>
  </si>
  <si>
    <t>Vendedor</t>
  </si>
  <si>
    <t>Regiao</t>
  </si>
  <si>
    <t>Meta</t>
  </si>
  <si>
    <t>Vendas_Realizadas</t>
  </si>
  <si>
    <t>Comissao_Percentual</t>
  </si>
  <si>
    <t>Campanha C</t>
  </si>
  <si>
    <t>Maria</t>
  </si>
  <si>
    <t>MG</t>
  </si>
  <si>
    <t>Campanha A</t>
  </si>
  <si>
    <t>Carlos</t>
  </si>
  <si>
    <t>RJ</t>
  </si>
  <si>
    <t>João</t>
  </si>
  <si>
    <t>Pedro</t>
  </si>
  <si>
    <t>BA</t>
  </si>
  <si>
    <t>Campanha B</t>
  </si>
  <si>
    <t>Ana</t>
  </si>
  <si>
    <t>SP</t>
  </si>
  <si>
    <t>Mariana</t>
  </si>
  <si>
    <t>Lucas</t>
  </si>
  <si>
    <t>ID</t>
  </si>
  <si>
    <t>Regiâo</t>
  </si>
  <si>
    <t>Porcentagem_comissão</t>
  </si>
  <si>
    <t>Total Geral</t>
  </si>
  <si>
    <t>Valor_Premiação</t>
  </si>
  <si>
    <t>Soma de Valor_Premiação</t>
  </si>
  <si>
    <t>Ano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</si>
  <si>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</si>
  <si>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</si>
  <si>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</si>
  <si>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</si>
  <si>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</si>
  <si>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</si>
  <si>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</si>
  <si>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</si>
  <si>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</si>
  <si>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</si>
  <si>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</si>
  <si>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</si>
  <si>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</si>
  <si>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de Vendas</t>
  </si>
  <si>
    <t>Valor Total da Meta</t>
  </si>
  <si>
    <t>Meta Total</t>
  </si>
  <si>
    <t>Venda Total</t>
  </si>
  <si>
    <t>Porcentagem de Atingimento %</t>
  </si>
  <si>
    <t>Vendedores</t>
  </si>
  <si>
    <t>Vendas Realizadas</t>
  </si>
  <si>
    <t>Campanhas</t>
  </si>
  <si>
    <t xml:space="preserve"> Valor de Vendas por Campanha</t>
  </si>
  <si>
    <t>UF</t>
  </si>
  <si>
    <t>Valor de Vendas por 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</si>
</sst>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7" formatCode="_-[$R$-416]\ * #,##0.00_-;\-[$R$-416]\ * #,##0.00_-;_-[$R$-416]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2" applyFont="1"/>
    <xf numFmtId="10" fontId="0" fillId="0" borderId="0" xfId="2" applyNumberFormat="1" applyFont="1"/>
    <xf numFmtId="44" fontId="0" fillId="0" borderId="0" xfId="1" applyFont="1"/>
    <xf numFmtId="167" fontId="0" fillId="2" borderId="0" xfId="1" applyNumberFormat="1" applyFont="1" applyFill="1"/>
    <xf numFmtId="0" fontId="0" fillId="2" borderId="0" xfId="0" applyFill="1"/>
    <xf numFmtId="44" fontId="0" fillId="2" borderId="0" xfId="1" applyFont="1" applyFill="1"/>
    <xf numFmtId="10" fontId="0" fillId="2" borderId="0" xfId="2" applyNumberFormat="1" applyFont="1" applyFill="1"/>
  </cellXfs>
  <cellStyles count="3">
    <cellStyle name="Moeda" xfId="1" builtinId="4"/>
    <cellStyle name="Normal" xfId="0" builtinId="0"/>
    <cellStyle name="Porcentagem" xfId="2" builtinId="5"/>
  </cellStyles>
  <dxfs count="3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4" formatCode="&quot;R$&quot;\ #,##0.00"/>
    </dxf>
    <dxf>
      <numFmt numFmtId="19" formatCode="dd/mm/yyyy"/>
    </dxf>
    <dxf>
      <numFmt numFmtId="164" formatCode="&quot;R$&quot;\ #,##0.00"/>
    </dxf>
    <dxf>
      <numFmt numFmtId="164" formatCode="&quot;R$&quot;\ #,##0.0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[Projeto_Excel.xlsx]KPIS!Tabela dinâmica17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500" baseline="0"/>
              <a:t>Vendas Por Campanhas</a:t>
            </a:r>
          </a:p>
        </c:rich>
      </c:tx>
      <c:layout>
        <c:manualLayout>
          <c:xMode val="edge"/>
          <c:yMode val="edge"/>
          <c:x val="0.19746556837627993"/>
          <c:y val="5.444702934860414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 w="9525" cap="flat" cmpd="sng" algn="ctr">
            <a:noFill/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797085898853838E-2"/>
          <c:y val="0.26675365863357992"/>
          <c:w val="0.93888888888888888"/>
          <c:h val="0.570466013176924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KPIS!$F$5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KPIS!$E$6:$E$9</c:f>
              <c:strCache>
                <c:ptCount val="3"/>
                <c:pt idx="0">
                  <c:v>Campanha A</c:v>
                </c:pt>
                <c:pt idx="1">
                  <c:v>Campanha B</c:v>
                </c:pt>
                <c:pt idx="2">
                  <c:v>Campanha C</c:v>
                </c:pt>
              </c:strCache>
            </c:strRef>
          </c:cat>
          <c:val>
            <c:numRef>
              <c:f>KPIS!$F$6:$F$9</c:f>
              <c:numCache>
                <c:formatCode>"R$"\ #,##0.00</c:formatCode>
                <c:ptCount val="3"/>
                <c:pt idx="0">
                  <c:v>522918.85000000009</c:v>
                </c:pt>
                <c:pt idx="1">
                  <c:v>573299.69999999995</c:v>
                </c:pt>
                <c:pt idx="2">
                  <c:v>554942.19999999995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A-40A1-AFC3-7CBB5279D81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49562032"/>
        <c:axId val="949553392"/>
      </c:barChart>
      <c:catAx>
        <c:axId val="9495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9553392"/>
        <c:crosses val="autoZero"/>
        <c:auto val="1"/>
        <c:lblAlgn val="ctr"/>
        <c:lblOffset val="100"/>
        <c:noMultiLvlLbl val="0"/>
      </c:catAx>
      <c:valAx>
        <c:axId val="949553392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94956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[Projeto_Excel.xlsx]KPIS!Tabela dinâmica25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500" b="1"/>
              <a:t>Total</a:t>
            </a:r>
            <a:r>
              <a:rPr lang="en-US" sz="1500" b="1" baseline="0"/>
              <a:t> de Vendas Por Região</a:t>
            </a:r>
            <a:endParaRPr lang="en-US" sz="1500" b="1"/>
          </a:p>
        </c:rich>
      </c:tx>
      <c:layout>
        <c:manualLayout>
          <c:xMode val="edge"/>
          <c:yMode val="edge"/>
          <c:x val="0.19128537986805702"/>
          <c:y val="8.07683130517775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3333333333332829E-3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4.1666666666666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650034650034647E-2"/>
          <c:y val="0.32231934731934736"/>
          <c:w val="0.92376992376992373"/>
          <c:h val="0.572096341978231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KPIS!$F$12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5C-415C-A893-C7E13D7228CC}"/>
                </c:ext>
              </c:extLst>
            </c:dLbl>
            <c:dLbl>
              <c:idx val="1"/>
              <c:layout>
                <c:manualLayout>
                  <c:x val="8.3333333333332829E-3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5C-415C-A893-C7E13D7228CC}"/>
                </c:ext>
              </c:extLst>
            </c:dLbl>
            <c:dLbl>
              <c:idx val="2"/>
              <c:layout>
                <c:manualLayout>
                  <c:x val="-1.0185067526415994E-16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5C-415C-A893-C7E13D7228CC}"/>
                </c:ext>
              </c:extLst>
            </c:dLbl>
            <c:dLbl>
              <c:idx val="3"/>
              <c:layout>
                <c:manualLayout>
                  <c:x val="8.3333333333333332E-3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C5C-415C-A893-C7E13D7228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KPIS!$E$13:$E$17</c:f>
              <c:strCache>
                <c:ptCount val="4"/>
                <c:pt idx="0">
                  <c:v>BA</c:v>
                </c:pt>
                <c:pt idx="1">
                  <c:v>MG</c:v>
                </c:pt>
                <c:pt idx="2">
                  <c:v>RJ</c:v>
                </c:pt>
                <c:pt idx="3">
                  <c:v>SP</c:v>
                </c:pt>
              </c:strCache>
            </c:strRef>
          </c:cat>
          <c:val>
            <c:numRef>
              <c:f>KPIS!$F$13:$F$17</c:f>
              <c:numCache>
                <c:formatCode>"R$"\ #,##0.00</c:formatCode>
                <c:ptCount val="4"/>
                <c:pt idx="0">
                  <c:v>375482.91999999993</c:v>
                </c:pt>
                <c:pt idx="1">
                  <c:v>448733.44000000018</c:v>
                </c:pt>
                <c:pt idx="2">
                  <c:v>420875.63000000018</c:v>
                </c:pt>
                <c:pt idx="3">
                  <c:v>406068.75999999989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C-415C-A893-C7E13D7228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1687616"/>
        <c:axId val="951690016"/>
      </c:barChart>
      <c:catAx>
        <c:axId val="95168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1690016"/>
        <c:crosses val="autoZero"/>
        <c:auto val="1"/>
        <c:lblAlgn val="ctr"/>
        <c:lblOffset val="100"/>
        <c:noMultiLvlLbl val="0"/>
      </c:catAx>
      <c:valAx>
        <c:axId val="95169001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9516876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ln>
            <a:noFill/>
          </a:ln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[Projeto_Excel.xlsx]KPIS!Tabela dinâmica23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Venda</a:t>
            </a:r>
            <a:r>
              <a:rPr lang="en-US" sz="1600" b="1" baseline="0"/>
              <a:t> Total Por Vendedor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304156140318526"/>
          <c:y val="4.939971857130028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E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180000" tIns="0" rIns="180000" bIns="216000" anchor="t" anchorCtr="0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dLbl>
          <c:idx val="0"/>
          <c:layout>
            <c:manualLayout>
              <c:x val="0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180000" tIns="0" rIns="180000" bIns="216000" anchor="t" anchorCtr="0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dLbl>
          <c:idx val="0"/>
          <c:layout>
            <c:manualLayout>
              <c:x val="0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180000" tIns="0" rIns="180000" bIns="216000" anchor="t" anchorCtr="0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dLbl>
          <c:idx val="0"/>
          <c:layout>
            <c:manualLayout>
              <c:x val="0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180000" tIns="0" rIns="180000" bIns="216000" anchor="t" anchorCtr="0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dLbl>
          <c:idx val="0"/>
          <c:layout>
            <c:manualLayout>
              <c:x val="5.5555555555555558E-3"/>
              <c:y val="-9.25925925925934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180000" tIns="0" rIns="180000" bIns="216000" anchor="t" anchorCtr="0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dLbl>
          <c:idx val="0"/>
          <c:layout>
            <c:manualLayout>
              <c:x val="2.7777777777777267E-3"/>
              <c:y val="-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180000" tIns="0" rIns="180000" bIns="216000" anchor="t" anchorCtr="0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dLbl>
          <c:idx val="0"/>
          <c:layout>
            <c:manualLayout>
              <c:x val="-2.7777777777778286E-3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180000" tIns="0" rIns="180000" bIns="216000" anchor="t" anchorCtr="0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dLbl>
          <c:idx val="0"/>
          <c:layout>
            <c:manualLayout>
              <c:x val="2.7777777777777779E-3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180000" tIns="0" rIns="180000" bIns="216000" anchor="t" anchorCtr="0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2676858015698858"/>
          <c:y val="0.19676257197888286"/>
          <c:w val="0.80519386920897185"/>
          <c:h val="0.764492927967337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KPIS!$A$6:$A$13</c:f>
              <c:strCache>
                <c:ptCount val="7"/>
                <c:pt idx="0">
                  <c:v>Ana</c:v>
                </c:pt>
                <c:pt idx="1">
                  <c:v>Carlos</c:v>
                </c:pt>
                <c:pt idx="2">
                  <c:v>João</c:v>
                </c:pt>
                <c:pt idx="3">
                  <c:v>Lucas</c:v>
                </c:pt>
                <c:pt idx="4">
                  <c:v>Maria</c:v>
                </c:pt>
                <c:pt idx="5">
                  <c:v>Mariana</c:v>
                </c:pt>
                <c:pt idx="6">
                  <c:v>Pedro</c:v>
                </c:pt>
              </c:strCache>
            </c:strRef>
          </c:cat>
          <c:val>
            <c:numRef>
              <c:f>KPIS!$B$6:$B$13</c:f>
              <c:numCache>
                <c:formatCode>"R$"\ #,##0.00</c:formatCode>
                <c:ptCount val="7"/>
                <c:pt idx="0">
                  <c:v>223389.91999999993</c:v>
                </c:pt>
                <c:pt idx="1">
                  <c:v>221673.07</c:v>
                </c:pt>
                <c:pt idx="2">
                  <c:v>255284.62</c:v>
                </c:pt>
                <c:pt idx="3">
                  <c:v>189501.59</c:v>
                </c:pt>
                <c:pt idx="4">
                  <c:v>231153.02999999997</c:v>
                </c:pt>
                <c:pt idx="5">
                  <c:v>215547.14999999997</c:v>
                </c:pt>
                <c:pt idx="6">
                  <c:v>314611.37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5-4E94-830B-4108A04366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9"/>
        <c:axId val="951611296"/>
        <c:axId val="951611776"/>
      </c:barChart>
      <c:catAx>
        <c:axId val="95161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1611776"/>
        <c:crosses val="autoZero"/>
        <c:auto val="1"/>
        <c:lblAlgn val="ctr"/>
        <c:lblOffset val="100"/>
        <c:noMultiLvlLbl val="0"/>
      </c:catAx>
      <c:valAx>
        <c:axId val="951611776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95161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[Projeto_Excel.xlsx]KPIS!Tabela dinâmica32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Premiação</a:t>
            </a:r>
            <a:r>
              <a:rPr lang="en-US" sz="1600" b="1" baseline="0"/>
              <a:t> X Vendedor</a:t>
            </a:r>
            <a:endParaRPr lang="en-US" sz="1600" b="1"/>
          </a:p>
        </c:rich>
      </c:tx>
      <c:layout>
        <c:manualLayout>
          <c:xMode val="edge"/>
          <c:yMode val="edge"/>
          <c:x val="0.35081905745388392"/>
          <c:y val="2.7755676881853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 w="57150"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02782029295517"/>
          <c:y val="0.18455010196896118"/>
          <c:w val="0.80587585363304992"/>
          <c:h val="0.757377888739517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KPIS!$F$19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 w="57150"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KPIS!$E$20:$E$27</c:f>
              <c:strCache>
                <c:ptCount val="7"/>
                <c:pt idx="0">
                  <c:v>Ana</c:v>
                </c:pt>
                <c:pt idx="1">
                  <c:v>Carlos</c:v>
                </c:pt>
                <c:pt idx="2">
                  <c:v>João</c:v>
                </c:pt>
                <c:pt idx="3">
                  <c:v>Lucas</c:v>
                </c:pt>
                <c:pt idx="4">
                  <c:v>Maria</c:v>
                </c:pt>
                <c:pt idx="5">
                  <c:v>Mariana</c:v>
                </c:pt>
                <c:pt idx="6">
                  <c:v>Pedro</c:v>
                </c:pt>
              </c:strCache>
            </c:strRef>
          </c:cat>
          <c:val>
            <c:numRef>
              <c:f>KPIS!$F$20:$F$27</c:f>
              <c:numCache>
                <c:formatCode>"R$"\ #,##0.00</c:formatCode>
                <c:ptCount val="7"/>
                <c:pt idx="0">
                  <c:v>12583.565199999995</c:v>
                </c:pt>
                <c:pt idx="1">
                  <c:v>11507.971300000003</c:v>
                </c:pt>
                <c:pt idx="2">
                  <c:v>13694.422400000001</c:v>
                </c:pt>
                <c:pt idx="3">
                  <c:v>10382.369400000003</c:v>
                </c:pt>
                <c:pt idx="4">
                  <c:v>12167.4725</c:v>
                </c:pt>
                <c:pt idx="5">
                  <c:v>11697.357499999998</c:v>
                </c:pt>
                <c:pt idx="6">
                  <c:v>16441.451200000003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13-47A8-91ED-F15AA7EA9A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3280096"/>
        <c:axId val="1483290656"/>
      </c:barChart>
      <c:catAx>
        <c:axId val="148328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3290656"/>
        <c:crosses val="autoZero"/>
        <c:auto val="1"/>
        <c:lblAlgn val="ctr"/>
        <c:lblOffset val="100"/>
        <c:noMultiLvlLbl val="0"/>
      </c:catAx>
      <c:valAx>
        <c:axId val="1483290656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48328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1066800</xdr:colOff>
      <xdr:row>16</xdr:row>
      <xdr:rowOff>38101</xdr:rowOff>
    </xdr:from>
    <xdr:to>
      <xdr:col>3</xdr:col>
      <xdr:colOff>601980</xdr:colOff>
      <xdr:row>21</xdr:row>
      <xdr:rowOff>175261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Ano 1">
              <a:extLst>
                <a:ext uri="{FF2B5EF4-FFF2-40B4-BE49-F238E27FC236}">
                  <a16:creationId xmlns:a16="http://schemas.microsoft.com/office/drawing/2014/main" id="{C34E0436-07CD-778B-D69A-C43E7CF425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5960" y="2964181"/>
              <a:ext cx="1828800" cy="1051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60960</xdr:colOff>
      <xdr:row>16</xdr:row>
      <xdr:rowOff>30481</xdr:rowOff>
    </xdr:from>
    <xdr:to>
      <xdr:col>1</xdr:col>
      <xdr:colOff>990600</xdr:colOff>
      <xdr:row>29</xdr:row>
      <xdr:rowOff>7621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Mês">
              <a:extLst>
                <a:ext uri="{FF2B5EF4-FFF2-40B4-BE49-F238E27FC236}">
                  <a16:creationId xmlns:a16="http://schemas.microsoft.com/office/drawing/2014/main" id="{F8967801-347B-689D-EBA4-E5F5CCD5F4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" y="2956561"/>
              <a:ext cx="1828800" cy="2354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1066800</xdr:colOff>
      <xdr:row>22</xdr:row>
      <xdr:rowOff>22861</xdr:rowOff>
    </xdr:from>
    <xdr:to>
      <xdr:col>3</xdr:col>
      <xdr:colOff>601980</xdr:colOff>
      <xdr:row>29</xdr:row>
      <xdr:rowOff>83820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4" name="Regiâo">
              <a:extLst>
                <a:ext uri="{FF2B5EF4-FFF2-40B4-BE49-F238E27FC236}">
                  <a16:creationId xmlns:a16="http://schemas.microsoft.com/office/drawing/2014/main" id="{D5E62F05-819C-E9B8-7589-99E3C8BFCA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â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5960" y="4046221"/>
              <a:ext cx="1828800" cy="13411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480060</xdr:colOff>
      <xdr:row>7</xdr:row>
      <xdr:rowOff>99060</xdr:rowOff>
    </xdr:from>
    <xdr:to>
      <xdr:col>15</xdr:col>
      <xdr:colOff>457200</xdr:colOff>
      <xdr:row>18</xdr:row>
      <xdr:rowOff>99060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5B963CD-DBA6-403C-8E05-5505FDA01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480060</xdr:colOff>
      <xdr:row>19</xdr:row>
      <xdr:rowOff>7620</xdr:rowOff>
    </xdr:from>
    <xdr:to>
      <xdr:col>15</xdr:col>
      <xdr:colOff>487680</xdr:colOff>
      <xdr:row>30</xdr:row>
      <xdr:rowOff>175260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4CF8F92-F3D5-4FE8-8155-D71BF2BC8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7</xdr:row>
      <xdr:rowOff>99060</xdr:rowOff>
    </xdr:from>
    <xdr:to>
      <xdr:col>9</xdr:col>
      <xdr:colOff>381000</xdr:colOff>
      <xdr:row>18</xdr:row>
      <xdr:rowOff>91440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6B20A4DB-C401-4AA4-895C-F2CDF69DF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601980</xdr:colOff>
      <xdr:row>0</xdr:row>
      <xdr:rowOff>1</xdr:rowOff>
    </xdr:from>
    <xdr:to>
      <xdr:col>19</xdr:col>
      <xdr:colOff>0</xdr:colOff>
      <xdr:row>8</xdr:row>
      <xdr:rowOff>167641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Regiâo 1">
              <a:extLst>
                <a:ext uri="{FF2B5EF4-FFF2-40B4-BE49-F238E27FC236}">
                  <a16:creationId xmlns:a16="http://schemas.microsoft.com/office/drawing/2014/main" id="{62494D33-8EFD-4BF2-9B58-490907A683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â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8920" y="1"/>
              <a:ext cx="1836420" cy="1630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601980</xdr:colOff>
      <xdr:row>9</xdr:row>
      <xdr:rowOff>45721</xdr:rowOff>
    </xdr:from>
    <xdr:to>
      <xdr:col>18</xdr:col>
      <xdr:colOff>601980</xdr:colOff>
      <xdr:row>15</xdr:row>
      <xdr:rowOff>129541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Ano 2">
              <a:extLst>
                <a:ext uri="{FF2B5EF4-FFF2-40B4-BE49-F238E27FC236}">
                  <a16:creationId xmlns:a16="http://schemas.microsoft.com/office/drawing/2014/main" id="{B842989C-6715-4114-AA51-26AFE00826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8920" y="1691641"/>
              <a:ext cx="1828800" cy="118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0</xdr:colOff>
      <xdr:row>15</xdr:row>
      <xdr:rowOff>175260</xdr:rowOff>
    </xdr:from>
    <xdr:to>
      <xdr:col>19</xdr:col>
      <xdr:colOff>0</xdr:colOff>
      <xdr:row>31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Mês 1">
              <a:extLst>
                <a:ext uri="{FF2B5EF4-FFF2-40B4-BE49-F238E27FC236}">
                  <a16:creationId xmlns:a16="http://schemas.microsoft.com/office/drawing/2014/main" id="{CBE71AE4-8B4A-4354-840F-8242678962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16540" y="2918460"/>
              <a:ext cx="1828800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83820</xdr:colOff>
      <xdr:row>0</xdr:row>
      <xdr:rowOff>160020</xdr:rowOff>
    </xdr:from>
    <xdr:to>
      <xdr:col>3</xdr:col>
      <xdr:colOff>472440</xdr:colOff>
      <xdr:row>6</xdr:row>
      <xdr:rowOff>68580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24FA0C37-42D6-4F8C-8553-4DAAB862BA31}"/>
            </a:ext>
          </a:extLst>
        </xdr:cNvPr>
        <xdr:cNvGrpSpPr/>
      </xdr:nvGrpSpPr>
      <xdr:grpSpPr>
        <a:xfrm>
          <a:off x="83820" y="160020"/>
          <a:ext cx="2423160" cy="1005840"/>
          <a:chOff x="8869680" y="2453640"/>
          <a:chExt cx="2575560" cy="100584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B$3">
        <xdr:nvSpPr>
          <xdr:cNvPr id="42" name="Retângulo: Cantos Arredondados 41">
            <a:extLst>
              <a:ext uri="{FF2B5EF4-FFF2-40B4-BE49-F238E27FC236}">
                <a16:creationId xmlns:a16="http://schemas.microsoft.com/office/drawing/2014/main" id="{7DBC91BA-791B-4774-D61D-18776E57E2D1}"/>
              </a:ext>
            </a:extLst>
          </xdr:cNvPr>
          <xdr:cNvSpPr/>
        </xdr:nvSpPr>
        <xdr:spPr>
          <a:xfrm>
            <a:off x="8869680" y="2453640"/>
            <a:ext cx="2575560" cy="1005840"/>
          </a:xfrm>
          <a:prstGeom prst="roundRect">
            <a:avLst/>
          </a:prstGeom>
          <a:solidFill>
            <a:schemeClr val="tx2">
              <a:lumMod val="50000"/>
              <a:lumOff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5169125D-C9D6-4BCD-ADDD-CBFDFF34297D}" type="TxLink">
              <a:rPr lang="en-US" sz="2200" b="1" i="0" u="none" strike="noStrike">
                <a:solidFill>
                  <a:srgbClr val="000000"/>
                </a:solidFill>
                <a:latin typeface="Aptos Narrow"/>
              </a:rPr>
              <a:t> R$ 1.651.160,75 </a:t>
            </a:fld>
            <a:endParaRPr lang="pt-BR" sz="2200" b="1"/>
          </a:p>
        </xdr:txBody>
      </xdr:sp>
      <xdr:sp macro="" textlink="">
        <xdr:nvSpPr>
          <xdr:cNvPr id="43" name="Retângulo: Cantos Superiores Arredondados 42">
            <a:extLst>
              <a:ext uri="{FF2B5EF4-FFF2-40B4-BE49-F238E27FC236}">
                <a16:creationId xmlns:a16="http://schemas.microsoft.com/office/drawing/2014/main" id="{52B525B7-A83E-8628-3033-C08C45BA3DA8}"/>
              </a:ext>
            </a:extLst>
          </xdr:cNvPr>
          <xdr:cNvSpPr/>
        </xdr:nvSpPr>
        <xdr:spPr>
          <a:xfrm>
            <a:off x="8877300" y="2461260"/>
            <a:ext cx="2567940" cy="396240"/>
          </a:xfrm>
          <a:prstGeom prst="round2SameRect">
            <a:avLst>
              <a:gd name="adj1" fmla="val 25622"/>
              <a:gd name="adj2" fmla="val 0"/>
            </a:avLst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22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t>Total de Vendas</a:t>
            </a:r>
          </a:p>
        </xdr:txBody>
      </xdr:sp>
    </xdr:grpSp>
    <xdr:clientData/>
  </xdr:twoCellAnchor>
  <xdr:twoCellAnchor>
    <xdr:from>
      <xdr:col>3</xdr:col>
      <xdr:colOff>556260</xdr:colOff>
      <xdr:row>0</xdr:row>
      <xdr:rowOff>152400</xdr:rowOff>
    </xdr:from>
    <xdr:to>
      <xdr:col>8</xdr:col>
      <xdr:colOff>205739</xdr:colOff>
      <xdr:row>6</xdr:row>
      <xdr:rowOff>60960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1360FEF8-E18E-4773-AF54-D87BD63E66AC}"/>
            </a:ext>
          </a:extLst>
        </xdr:cNvPr>
        <xdr:cNvGrpSpPr/>
      </xdr:nvGrpSpPr>
      <xdr:grpSpPr>
        <a:xfrm>
          <a:off x="2590800" y="152400"/>
          <a:ext cx="3154679" cy="1005840"/>
          <a:chOff x="8869681" y="2453640"/>
          <a:chExt cx="2575560" cy="100584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F$4">
        <xdr:nvSpPr>
          <xdr:cNvPr id="45" name="Retângulo: Cantos Arredondados 44">
            <a:extLst>
              <a:ext uri="{FF2B5EF4-FFF2-40B4-BE49-F238E27FC236}">
                <a16:creationId xmlns:a16="http://schemas.microsoft.com/office/drawing/2014/main" id="{6F8DD92F-842A-1903-6061-26FE76B11230}"/>
              </a:ext>
            </a:extLst>
          </xdr:cNvPr>
          <xdr:cNvSpPr/>
        </xdr:nvSpPr>
        <xdr:spPr>
          <a:xfrm>
            <a:off x="8869681" y="2453640"/>
            <a:ext cx="2575560" cy="1005840"/>
          </a:xfrm>
          <a:prstGeom prst="roundRect">
            <a:avLst/>
          </a:prstGeom>
          <a:solidFill>
            <a:schemeClr val="tx2">
              <a:lumMod val="50000"/>
              <a:lumOff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F00C9C39-F3A4-46FF-B5D4-AC3C865645BC}" type="TxLink">
              <a:rPr lang="en-US" sz="2200" b="1" i="0" u="none" strike="noStrike">
                <a:solidFill>
                  <a:srgbClr val="000000"/>
                </a:solidFill>
                <a:latin typeface="Aptos Narrow"/>
              </a:rPr>
              <a:t> R$ 1.657.095,00 </a:t>
            </a:fld>
            <a:endParaRPr lang="en-US" sz="2200" b="1" i="0" u="none" strike="noStrike">
              <a:solidFill>
                <a:srgbClr val="000000"/>
              </a:solidFill>
              <a:latin typeface="Aptos Narrow"/>
            </a:endParaRPr>
          </a:p>
        </xdr:txBody>
      </xdr:sp>
      <xdr:sp macro="" textlink="">
        <xdr:nvSpPr>
          <xdr:cNvPr id="46" name="Retângulo: Cantos Superiores Arredondados 45">
            <a:extLst>
              <a:ext uri="{FF2B5EF4-FFF2-40B4-BE49-F238E27FC236}">
                <a16:creationId xmlns:a16="http://schemas.microsoft.com/office/drawing/2014/main" id="{59159AAA-5A54-74D0-97C4-C2DD1B2D8B94}"/>
              </a:ext>
            </a:extLst>
          </xdr:cNvPr>
          <xdr:cNvSpPr/>
        </xdr:nvSpPr>
        <xdr:spPr>
          <a:xfrm>
            <a:off x="8877300" y="2461260"/>
            <a:ext cx="2567940" cy="396240"/>
          </a:xfrm>
          <a:prstGeom prst="round2SameRect">
            <a:avLst>
              <a:gd name="adj1" fmla="val 25622"/>
              <a:gd name="adj2" fmla="val 0"/>
            </a:avLst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2200" b="1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t>Meta</a:t>
            </a:r>
            <a:r>
              <a:rPr lang="pt-BR" sz="2200" b="1" i="0" u="none" strike="noStrike" baseline="0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t> Total</a:t>
            </a:r>
          </a:p>
          <a:p>
            <a:pPr marL="0" indent="0" algn="ctr"/>
            <a:r>
              <a:rPr lang="pt-BR" sz="2200" b="1" i="0" u="none" strike="noStrike" baseline="0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t>Meta Total</a:t>
            </a:r>
          </a:p>
          <a:p>
            <a:pPr marL="0" indent="0" algn="ctr"/>
            <a:r>
              <a:rPr lang="pt-BR" sz="2200" b="1" i="0" u="none" strike="noStrike" baseline="0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t>Meta Total</a:t>
            </a:r>
            <a:endParaRPr lang="pt-BR" sz="2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312420</xdr:colOff>
      <xdr:row>0</xdr:row>
      <xdr:rowOff>152400</xdr:rowOff>
    </xdr:from>
    <xdr:to>
      <xdr:col>15</xdr:col>
      <xdr:colOff>495300</xdr:colOff>
      <xdr:row>6</xdr:row>
      <xdr:rowOff>60960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C99327DF-0B4C-40D1-87D4-66AE7E8C96F2}"/>
            </a:ext>
          </a:extLst>
        </xdr:cNvPr>
        <xdr:cNvGrpSpPr/>
      </xdr:nvGrpSpPr>
      <xdr:grpSpPr>
        <a:xfrm>
          <a:off x="5852160" y="152400"/>
          <a:ext cx="4450080" cy="1005840"/>
          <a:chOff x="8869680" y="2453640"/>
          <a:chExt cx="2575560" cy="100584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L$4">
        <xdr:nvSpPr>
          <xdr:cNvPr id="48" name="Retângulo: Cantos Arredondados 47">
            <a:extLst>
              <a:ext uri="{FF2B5EF4-FFF2-40B4-BE49-F238E27FC236}">
                <a16:creationId xmlns:a16="http://schemas.microsoft.com/office/drawing/2014/main" id="{D06DCB08-136E-AE5F-099A-C4F36B52A3E3}"/>
              </a:ext>
            </a:extLst>
          </xdr:cNvPr>
          <xdr:cNvSpPr/>
        </xdr:nvSpPr>
        <xdr:spPr>
          <a:xfrm>
            <a:off x="8869680" y="2453640"/>
            <a:ext cx="2575560" cy="1005840"/>
          </a:xfrm>
          <a:prstGeom prst="roundRect">
            <a:avLst/>
          </a:prstGeom>
          <a:solidFill>
            <a:schemeClr val="tx2">
              <a:lumMod val="50000"/>
              <a:lumOff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DBC624C7-BE1B-4916-9248-EF729D91E3DF}" type="TxLink">
              <a:rPr lang="en-US" sz="2200" b="1" i="0" u="none" strike="noStrike">
                <a:solidFill>
                  <a:srgbClr val="000000"/>
                </a:solidFill>
                <a:latin typeface="Aptos Narrow"/>
              </a:rPr>
              <a:t>99,64%</a:t>
            </a:fld>
            <a:endParaRPr lang="en-US" sz="2200" b="1" i="0" u="none" strike="noStrike">
              <a:solidFill>
                <a:srgbClr val="000000"/>
              </a:solidFill>
              <a:latin typeface="Aptos Narrow"/>
            </a:endParaRPr>
          </a:p>
        </xdr:txBody>
      </xdr:sp>
      <xdr:sp macro="" textlink="">
        <xdr:nvSpPr>
          <xdr:cNvPr id="49" name="Retângulo: Cantos Superiores Arredondados 48">
            <a:extLst>
              <a:ext uri="{FF2B5EF4-FFF2-40B4-BE49-F238E27FC236}">
                <a16:creationId xmlns:a16="http://schemas.microsoft.com/office/drawing/2014/main" id="{946EF8F3-B45B-B3AD-6092-98389A2F242C}"/>
              </a:ext>
            </a:extLst>
          </xdr:cNvPr>
          <xdr:cNvSpPr/>
        </xdr:nvSpPr>
        <xdr:spPr>
          <a:xfrm>
            <a:off x="8877300" y="2461260"/>
            <a:ext cx="2567940" cy="396240"/>
          </a:xfrm>
          <a:prstGeom prst="round2SameRect">
            <a:avLst>
              <a:gd name="adj1" fmla="val 25622"/>
              <a:gd name="adj2" fmla="val 0"/>
            </a:avLst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2200" b="1" i="0" u="none" strike="noStrike" baseline="0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t>Porcentagem de Atingimento</a:t>
            </a:r>
          </a:p>
        </xdr:txBody>
      </xdr:sp>
    </xdr:grpSp>
    <xdr:clientData/>
  </xdr:twoCellAnchor>
  <xdr:twoCellAnchor>
    <xdr:from>
      <xdr:col>0</xdr:col>
      <xdr:colOff>30480</xdr:colOff>
      <xdr:row>19</xdr:row>
      <xdr:rowOff>0</xdr:rowOff>
    </xdr:from>
    <xdr:to>
      <xdr:col>9</xdr:col>
      <xdr:colOff>388620</xdr:colOff>
      <xdr:row>30</xdr:row>
      <xdr:rowOff>175260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A0822D77-5F7B-41D7-A088-643196FB5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pire" refreshedDate="46133.101318865738" createdVersion="8" refreshedVersion="8" minRefreshableVersion="3" recordCount="485" xr:uid="{70107D0A-2F8C-4373-B60E-693982BC058E}">
  <cacheSource type="worksheet">
    <worksheetSource name="Tabela3_6"/>
  </cacheSource>
  <cacheFields count="12">
    <cacheField name="ID" numFmtId="0">
      <sharedItems containsSemiMixedTypes="0" containsString="0" containsNumber="1" containsInteger="1" minValue="1" maxValue="485"/>
    </cacheField>
    <cacheField name="Data" numFmtId="14">
      <sharedItems containsSemiMixedTypes="0" containsNonDate="0" containsDate="1" containsString="0" minDate="2024-01-01T00:00:00" maxDate="2025-05-15T00:00:00"/>
    </cacheField>
    <cacheField name="Ano" numFmtId="0">
      <sharedItems containsSemiMixedTypes="0" containsString="0" containsNumber="1" containsInteger="1" minValue="2024" maxValue="2025" count="2">
        <n v="2024"/>
        <n v="2025"/>
      </sharedItems>
    </cacheField>
    <cacheField name="Mês" numFmtId="0">
      <sharedItems containsBlank="1" count="13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  <m u="1"/>
      </sharedItems>
    </cacheField>
    <cacheField name="Campanha" numFmtId="0">
      <sharedItems containsBlank="1" count="4">
        <s v="Campanha C"/>
        <s v="Campanha A"/>
        <s v="Campanha B"/>
        <m u="1"/>
      </sharedItems>
    </cacheField>
    <cacheField name="Vendedor" numFmtId="0">
      <sharedItems containsBlank="1" count="8">
        <s v="Maria"/>
        <s v="Carlos"/>
        <s v="João"/>
        <s v="Pedro"/>
        <s v="Ana"/>
        <s v="Mariana"/>
        <s v="Lucas"/>
        <m u="1"/>
      </sharedItems>
    </cacheField>
    <cacheField name="Regiâo" numFmtId="0">
      <sharedItems containsBlank="1" count="5">
        <s v="MG"/>
        <s v="RJ"/>
        <s v="BA"/>
        <s v="SP"/>
        <m u="1"/>
      </sharedItems>
    </cacheField>
    <cacheField name="Meta" numFmtId="164">
      <sharedItems containsSemiMixedTypes="0" containsString="0" containsNumber="1" containsInteger="1" minValue="2002" maxValue="4996"/>
    </cacheField>
    <cacheField name="Vendas_Realizadas" numFmtId="164">
      <sharedItems containsSemiMixedTypes="0" containsString="0" containsNumber="1" minValue="1080.93" maxValue="7264.09"/>
    </cacheField>
    <cacheField name="Porcentagem_comissão" numFmtId="10">
      <sharedItems containsSemiMixedTypes="0" containsString="0" containsNumber="1" minValue="0.04" maxValue="7.0000000000000007E-2"/>
    </cacheField>
    <cacheField name="Valor_Premiação" numFmtId="164">
      <sharedItems containsSemiMixedTypes="0" containsString="0" containsNumber="1" minValue="43.813600000000001" maxValue="508.48630000000003"/>
    </cacheField>
    <cacheField name="Atingimento %" numFmtId="0" formula="Vendas_Realizadas /Meta" databaseField="0"/>
  </cacheFields>
  <extLst>
    <ext xmlns:x14="http://schemas.microsoft.com/office/spreadsheetml/2009/9/main" uri="{725AE2AE-9491-48be-B2B4-4EB974FC3084}">
      <x14:pivotCacheDefinition pivotCacheId="1016358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">
  <r>
    <n v="1"/>
    <d v="2024-01-01T00:00:00"/>
    <x v="0"/>
    <x v="0"/>
    <x v="0"/>
    <x v="0"/>
    <x v="0"/>
    <n v="4006"/>
    <n v="5465.62"/>
    <n v="0.04"/>
    <n v="218.62479999999999"/>
  </r>
  <r>
    <n v="2"/>
    <d v="2024-01-02T00:00:00"/>
    <x v="0"/>
    <x v="0"/>
    <x v="1"/>
    <x v="0"/>
    <x v="0"/>
    <n v="4490"/>
    <n v="4369.71"/>
    <n v="0.05"/>
    <n v="218.4855"/>
  </r>
  <r>
    <n v="3"/>
    <d v="2024-01-03T00:00:00"/>
    <x v="0"/>
    <x v="0"/>
    <x v="0"/>
    <x v="1"/>
    <x v="0"/>
    <n v="3790"/>
    <n v="5564.45"/>
    <n v="0.04"/>
    <n v="222.578"/>
  </r>
  <r>
    <n v="4"/>
    <d v="2024-01-04T00:00:00"/>
    <x v="0"/>
    <x v="0"/>
    <x v="0"/>
    <x v="0"/>
    <x v="1"/>
    <n v="2327"/>
    <n v="1595.22"/>
    <n v="0.04"/>
    <n v="63.808799999999998"/>
  </r>
  <r>
    <n v="5"/>
    <d v="2024-01-05T00:00:00"/>
    <x v="0"/>
    <x v="0"/>
    <x v="1"/>
    <x v="2"/>
    <x v="0"/>
    <n v="4808"/>
    <n v="6580.34"/>
    <n v="0.05"/>
    <n v="329.017"/>
  </r>
  <r>
    <n v="6"/>
    <d v="2024-01-06T00:00:00"/>
    <x v="0"/>
    <x v="0"/>
    <x v="1"/>
    <x v="3"/>
    <x v="0"/>
    <n v="4626"/>
    <n v="5905.54"/>
    <n v="0.05"/>
    <n v="295.27699999999999"/>
  </r>
  <r>
    <n v="7"/>
    <d v="2024-01-07T00:00:00"/>
    <x v="0"/>
    <x v="0"/>
    <x v="0"/>
    <x v="3"/>
    <x v="2"/>
    <n v="3287"/>
    <n v="4177.5200000000004"/>
    <n v="0.04"/>
    <n v="167.10079999999999"/>
  </r>
  <r>
    <n v="8"/>
    <d v="2024-01-08T00:00:00"/>
    <x v="0"/>
    <x v="0"/>
    <x v="2"/>
    <x v="4"/>
    <x v="3"/>
    <n v="4143"/>
    <n v="5571.44"/>
    <n v="7.0000000000000007E-2"/>
    <n v="390.00080000000003"/>
  </r>
  <r>
    <n v="9"/>
    <d v="2024-01-10T00:00:00"/>
    <x v="0"/>
    <x v="0"/>
    <x v="0"/>
    <x v="0"/>
    <x v="1"/>
    <n v="3311"/>
    <n v="3728.92"/>
    <n v="0.04"/>
    <n v="149.1568"/>
  </r>
  <r>
    <n v="10"/>
    <d v="2024-01-11T00:00:00"/>
    <x v="0"/>
    <x v="0"/>
    <x v="0"/>
    <x v="2"/>
    <x v="1"/>
    <n v="4861"/>
    <n v="3068.48"/>
    <n v="0.04"/>
    <n v="122.7392"/>
  </r>
  <r>
    <n v="11"/>
    <d v="2024-01-12T00:00:00"/>
    <x v="0"/>
    <x v="0"/>
    <x v="0"/>
    <x v="4"/>
    <x v="0"/>
    <n v="4538"/>
    <n v="2416.6"/>
    <n v="0.04"/>
    <n v="96.664000000000001"/>
  </r>
  <r>
    <n v="12"/>
    <d v="2024-01-13T00:00:00"/>
    <x v="0"/>
    <x v="0"/>
    <x v="1"/>
    <x v="1"/>
    <x v="0"/>
    <n v="2451"/>
    <n v="3482.5"/>
    <n v="0.05"/>
    <n v="174.125"/>
  </r>
  <r>
    <n v="13"/>
    <d v="2024-01-14T00:00:00"/>
    <x v="0"/>
    <x v="0"/>
    <x v="0"/>
    <x v="4"/>
    <x v="0"/>
    <n v="3523"/>
    <n v="3933.96"/>
    <n v="0.04"/>
    <n v="157.35839999999999"/>
  </r>
  <r>
    <n v="14"/>
    <d v="2024-01-15T00:00:00"/>
    <x v="0"/>
    <x v="0"/>
    <x v="2"/>
    <x v="4"/>
    <x v="2"/>
    <n v="2164"/>
    <n v="2805.71"/>
    <n v="7.0000000000000007E-2"/>
    <n v="196.3997"/>
  </r>
  <r>
    <n v="15"/>
    <d v="2024-01-16T00:00:00"/>
    <x v="0"/>
    <x v="0"/>
    <x v="1"/>
    <x v="0"/>
    <x v="3"/>
    <n v="2181"/>
    <n v="2140.6999999999998"/>
    <n v="0.05"/>
    <n v="107.035"/>
  </r>
  <r>
    <n v="16"/>
    <d v="2024-01-17T00:00:00"/>
    <x v="0"/>
    <x v="0"/>
    <x v="2"/>
    <x v="1"/>
    <x v="0"/>
    <n v="4516"/>
    <n v="2787.76"/>
    <n v="7.0000000000000007E-2"/>
    <n v="195.14320000000001"/>
  </r>
  <r>
    <n v="17"/>
    <d v="2024-01-18T00:00:00"/>
    <x v="0"/>
    <x v="0"/>
    <x v="2"/>
    <x v="4"/>
    <x v="3"/>
    <n v="2909"/>
    <n v="1818.67"/>
    <n v="7.0000000000000007E-2"/>
    <n v="127.3069"/>
  </r>
  <r>
    <n v="18"/>
    <d v="2024-01-19T00:00:00"/>
    <x v="0"/>
    <x v="0"/>
    <x v="2"/>
    <x v="2"/>
    <x v="2"/>
    <n v="4782"/>
    <n v="5669.37"/>
    <n v="7.0000000000000007E-2"/>
    <n v="396.85590000000002"/>
  </r>
  <r>
    <n v="19"/>
    <d v="2024-01-20T00:00:00"/>
    <x v="0"/>
    <x v="0"/>
    <x v="2"/>
    <x v="2"/>
    <x v="1"/>
    <n v="2822"/>
    <n v="2625.32"/>
    <n v="7.0000000000000007E-2"/>
    <n v="183.7724"/>
  </r>
  <r>
    <n v="20"/>
    <d v="2024-01-21T00:00:00"/>
    <x v="0"/>
    <x v="0"/>
    <x v="1"/>
    <x v="3"/>
    <x v="0"/>
    <n v="2943"/>
    <n v="2061.64"/>
    <n v="0.05"/>
    <n v="103.08199999999999"/>
  </r>
  <r>
    <n v="21"/>
    <d v="2024-01-22T00:00:00"/>
    <x v="0"/>
    <x v="0"/>
    <x v="1"/>
    <x v="1"/>
    <x v="3"/>
    <n v="4001"/>
    <n v="3967.37"/>
    <n v="0.05"/>
    <n v="198.36850000000001"/>
  </r>
  <r>
    <n v="22"/>
    <d v="2024-01-23T00:00:00"/>
    <x v="0"/>
    <x v="0"/>
    <x v="2"/>
    <x v="1"/>
    <x v="3"/>
    <n v="4054"/>
    <n v="2287.3000000000002"/>
    <n v="7.0000000000000007E-2"/>
    <n v="160.11099999999999"/>
  </r>
  <r>
    <n v="23"/>
    <d v="2024-01-24T00:00:00"/>
    <x v="0"/>
    <x v="0"/>
    <x v="2"/>
    <x v="3"/>
    <x v="0"/>
    <n v="2329"/>
    <n v="2519.91"/>
    <n v="7.0000000000000007E-2"/>
    <n v="176.3937"/>
  </r>
  <r>
    <n v="24"/>
    <d v="2024-01-25T00:00:00"/>
    <x v="0"/>
    <x v="0"/>
    <x v="1"/>
    <x v="4"/>
    <x v="1"/>
    <n v="2774"/>
    <n v="2133.19"/>
    <n v="0.05"/>
    <n v="106.65949999999999"/>
  </r>
  <r>
    <n v="25"/>
    <d v="2024-01-26T00:00:00"/>
    <x v="0"/>
    <x v="0"/>
    <x v="1"/>
    <x v="1"/>
    <x v="1"/>
    <n v="4198"/>
    <n v="5447.15"/>
    <n v="0.05"/>
    <n v="272.35750000000002"/>
  </r>
  <r>
    <n v="26"/>
    <d v="2024-01-27T00:00:00"/>
    <x v="0"/>
    <x v="0"/>
    <x v="1"/>
    <x v="2"/>
    <x v="1"/>
    <n v="2146"/>
    <n v="1739.04"/>
    <n v="0.05"/>
    <n v="86.951999999999998"/>
  </r>
  <r>
    <n v="27"/>
    <d v="2024-01-28T00:00:00"/>
    <x v="0"/>
    <x v="0"/>
    <x v="0"/>
    <x v="2"/>
    <x v="2"/>
    <n v="2914"/>
    <n v="2783.51"/>
    <n v="0.04"/>
    <n v="111.3404"/>
  </r>
  <r>
    <n v="28"/>
    <d v="2024-01-29T00:00:00"/>
    <x v="0"/>
    <x v="0"/>
    <x v="0"/>
    <x v="0"/>
    <x v="3"/>
    <n v="3571"/>
    <n v="1827"/>
    <n v="0.04"/>
    <n v="73.08"/>
  </r>
  <r>
    <n v="29"/>
    <d v="2024-01-30T00:00:00"/>
    <x v="0"/>
    <x v="0"/>
    <x v="0"/>
    <x v="1"/>
    <x v="3"/>
    <n v="3308"/>
    <n v="1893.65"/>
    <n v="0.04"/>
    <n v="75.745999999999995"/>
  </r>
  <r>
    <n v="30"/>
    <d v="2024-01-31T00:00:00"/>
    <x v="0"/>
    <x v="0"/>
    <x v="2"/>
    <x v="4"/>
    <x v="3"/>
    <n v="4747"/>
    <n v="4236.67"/>
    <n v="7.0000000000000007E-2"/>
    <n v="296.56689999999998"/>
  </r>
  <r>
    <n v="31"/>
    <d v="2024-02-01T00:00:00"/>
    <x v="0"/>
    <x v="1"/>
    <x v="0"/>
    <x v="3"/>
    <x v="2"/>
    <n v="2081"/>
    <n v="2039.25"/>
    <n v="0.04"/>
    <n v="81.569999999999993"/>
  </r>
  <r>
    <n v="32"/>
    <d v="2024-02-02T00:00:00"/>
    <x v="0"/>
    <x v="1"/>
    <x v="2"/>
    <x v="3"/>
    <x v="3"/>
    <n v="2513"/>
    <n v="2764.35"/>
    <n v="7.0000000000000007E-2"/>
    <n v="193.50450000000001"/>
  </r>
  <r>
    <n v="33"/>
    <d v="2024-02-03T00:00:00"/>
    <x v="0"/>
    <x v="1"/>
    <x v="2"/>
    <x v="4"/>
    <x v="2"/>
    <n v="3920"/>
    <n v="3103.32"/>
    <n v="7.0000000000000007E-2"/>
    <n v="217.23240000000001"/>
  </r>
  <r>
    <n v="34"/>
    <d v="2024-02-04T00:00:00"/>
    <x v="0"/>
    <x v="1"/>
    <x v="0"/>
    <x v="5"/>
    <x v="1"/>
    <n v="4862"/>
    <n v="5810"/>
    <n v="0.04"/>
    <n v="232.4"/>
  </r>
  <r>
    <n v="35"/>
    <d v="2024-02-05T00:00:00"/>
    <x v="0"/>
    <x v="1"/>
    <x v="2"/>
    <x v="6"/>
    <x v="0"/>
    <n v="4756"/>
    <n v="6468.74"/>
    <n v="7.0000000000000007E-2"/>
    <n v="452.81180000000001"/>
  </r>
  <r>
    <n v="36"/>
    <d v="2024-02-06T00:00:00"/>
    <x v="0"/>
    <x v="1"/>
    <x v="0"/>
    <x v="0"/>
    <x v="3"/>
    <n v="3939"/>
    <n v="5041.33"/>
    <n v="0.04"/>
    <n v="201.6532"/>
  </r>
  <r>
    <n v="37"/>
    <d v="2024-02-07T00:00:00"/>
    <x v="0"/>
    <x v="1"/>
    <x v="0"/>
    <x v="3"/>
    <x v="3"/>
    <n v="2745"/>
    <n v="1481.25"/>
    <n v="0.04"/>
    <n v="59.25"/>
  </r>
  <r>
    <n v="38"/>
    <d v="2024-02-08T00:00:00"/>
    <x v="0"/>
    <x v="1"/>
    <x v="1"/>
    <x v="1"/>
    <x v="1"/>
    <n v="3409"/>
    <n v="3342.55"/>
    <n v="0.05"/>
    <n v="167.1275"/>
  </r>
  <r>
    <n v="39"/>
    <d v="2024-02-09T00:00:00"/>
    <x v="0"/>
    <x v="1"/>
    <x v="0"/>
    <x v="0"/>
    <x v="0"/>
    <n v="2706"/>
    <n v="1636.94"/>
    <n v="0.04"/>
    <n v="65.477599999999995"/>
  </r>
  <r>
    <n v="40"/>
    <d v="2024-02-10T00:00:00"/>
    <x v="0"/>
    <x v="1"/>
    <x v="1"/>
    <x v="1"/>
    <x v="2"/>
    <n v="2470"/>
    <n v="1832.85"/>
    <n v="0.05"/>
    <n v="91.642499999999998"/>
  </r>
  <r>
    <n v="41"/>
    <d v="2024-02-11T00:00:00"/>
    <x v="0"/>
    <x v="1"/>
    <x v="0"/>
    <x v="5"/>
    <x v="0"/>
    <n v="2395"/>
    <n v="3560.56"/>
    <n v="0.04"/>
    <n v="142.42240000000001"/>
  </r>
  <r>
    <n v="42"/>
    <d v="2024-02-12T00:00:00"/>
    <x v="0"/>
    <x v="1"/>
    <x v="0"/>
    <x v="2"/>
    <x v="1"/>
    <n v="3555"/>
    <n v="2284.0700000000002"/>
    <n v="0.04"/>
    <n v="91.362799999999993"/>
  </r>
  <r>
    <n v="43"/>
    <d v="2024-02-13T00:00:00"/>
    <x v="0"/>
    <x v="1"/>
    <x v="1"/>
    <x v="0"/>
    <x v="1"/>
    <n v="4308"/>
    <n v="4303.21"/>
    <n v="0.05"/>
    <n v="215.16050000000001"/>
  </r>
  <r>
    <n v="44"/>
    <d v="2024-02-14T00:00:00"/>
    <x v="0"/>
    <x v="1"/>
    <x v="1"/>
    <x v="3"/>
    <x v="0"/>
    <n v="2804"/>
    <n v="3135.31"/>
    <n v="0.05"/>
    <n v="156.7655"/>
  </r>
  <r>
    <n v="45"/>
    <d v="2024-02-15T00:00:00"/>
    <x v="0"/>
    <x v="1"/>
    <x v="0"/>
    <x v="0"/>
    <x v="2"/>
    <n v="2933"/>
    <n v="3526.83"/>
    <n v="0.04"/>
    <n v="141.07320000000001"/>
  </r>
  <r>
    <n v="46"/>
    <d v="2024-02-16T00:00:00"/>
    <x v="0"/>
    <x v="1"/>
    <x v="2"/>
    <x v="0"/>
    <x v="2"/>
    <n v="3279"/>
    <n v="3474.59"/>
    <n v="7.0000000000000007E-2"/>
    <n v="243.22130000000001"/>
  </r>
  <r>
    <n v="47"/>
    <d v="2024-02-17T00:00:00"/>
    <x v="0"/>
    <x v="1"/>
    <x v="1"/>
    <x v="0"/>
    <x v="3"/>
    <n v="3757"/>
    <n v="1915.21"/>
    <n v="0.05"/>
    <n v="95.760499999999993"/>
  </r>
  <r>
    <n v="48"/>
    <d v="2024-02-18T00:00:00"/>
    <x v="0"/>
    <x v="1"/>
    <x v="2"/>
    <x v="6"/>
    <x v="2"/>
    <n v="2904"/>
    <n v="2400.04"/>
    <n v="7.0000000000000007E-2"/>
    <n v="168.00280000000001"/>
  </r>
  <r>
    <n v="49"/>
    <d v="2024-02-19T00:00:00"/>
    <x v="0"/>
    <x v="1"/>
    <x v="2"/>
    <x v="0"/>
    <x v="0"/>
    <n v="3076"/>
    <n v="3130.48"/>
    <n v="7.0000000000000007E-2"/>
    <n v="219.1336"/>
  </r>
  <r>
    <n v="50"/>
    <d v="2024-02-20T00:00:00"/>
    <x v="0"/>
    <x v="1"/>
    <x v="2"/>
    <x v="1"/>
    <x v="1"/>
    <n v="4987"/>
    <n v="2931.69"/>
    <n v="7.0000000000000007E-2"/>
    <n v="205.2183"/>
  </r>
  <r>
    <n v="51"/>
    <d v="2024-02-21T00:00:00"/>
    <x v="0"/>
    <x v="1"/>
    <x v="1"/>
    <x v="2"/>
    <x v="3"/>
    <n v="3890"/>
    <n v="3308.94"/>
    <n v="0.05"/>
    <n v="165.447"/>
  </r>
  <r>
    <n v="52"/>
    <d v="2024-02-22T00:00:00"/>
    <x v="0"/>
    <x v="1"/>
    <x v="2"/>
    <x v="5"/>
    <x v="3"/>
    <n v="3523"/>
    <n v="1878.47"/>
    <n v="7.0000000000000007E-2"/>
    <n v="131.49289999999999"/>
  </r>
  <r>
    <n v="53"/>
    <d v="2024-02-23T00:00:00"/>
    <x v="0"/>
    <x v="1"/>
    <x v="1"/>
    <x v="4"/>
    <x v="1"/>
    <n v="4901"/>
    <n v="2835.61"/>
    <n v="0.05"/>
    <n v="141.78049999999999"/>
  </r>
  <r>
    <n v="54"/>
    <d v="2024-02-24T00:00:00"/>
    <x v="0"/>
    <x v="1"/>
    <x v="2"/>
    <x v="0"/>
    <x v="2"/>
    <n v="3387"/>
    <n v="3037.88"/>
    <n v="7.0000000000000007E-2"/>
    <n v="212.6516"/>
  </r>
  <r>
    <n v="55"/>
    <d v="2024-02-25T00:00:00"/>
    <x v="0"/>
    <x v="1"/>
    <x v="0"/>
    <x v="3"/>
    <x v="1"/>
    <n v="3303"/>
    <n v="2089.86"/>
    <n v="0.04"/>
    <n v="83.594399999999993"/>
  </r>
  <r>
    <n v="56"/>
    <d v="2024-02-26T00:00:00"/>
    <x v="0"/>
    <x v="1"/>
    <x v="0"/>
    <x v="0"/>
    <x v="2"/>
    <n v="2592"/>
    <n v="2767.07"/>
    <n v="0.04"/>
    <n v="110.6828"/>
  </r>
  <r>
    <n v="57"/>
    <d v="2024-02-27T00:00:00"/>
    <x v="0"/>
    <x v="1"/>
    <x v="1"/>
    <x v="3"/>
    <x v="1"/>
    <n v="4761"/>
    <n v="5663.04"/>
    <n v="0.05"/>
    <n v="283.15199999999999"/>
  </r>
  <r>
    <n v="58"/>
    <d v="2024-02-28T00:00:00"/>
    <x v="0"/>
    <x v="1"/>
    <x v="0"/>
    <x v="1"/>
    <x v="0"/>
    <n v="4679"/>
    <n v="6085.45"/>
    <n v="0.04"/>
    <n v="243.41800000000001"/>
  </r>
  <r>
    <n v="59"/>
    <d v="2024-02-29T00:00:00"/>
    <x v="0"/>
    <x v="1"/>
    <x v="0"/>
    <x v="3"/>
    <x v="2"/>
    <n v="4106"/>
    <n v="2874.82"/>
    <n v="0.04"/>
    <n v="114.9928"/>
  </r>
  <r>
    <n v="60"/>
    <d v="2024-03-01T00:00:00"/>
    <x v="0"/>
    <x v="2"/>
    <x v="2"/>
    <x v="4"/>
    <x v="0"/>
    <n v="2127"/>
    <n v="1419.74"/>
    <n v="7.0000000000000007E-2"/>
    <n v="99.381799999999998"/>
  </r>
  <r>
    <n v="61"/>
    <d v="2024-03-02T00:00:00"/>
    <x v="0"/>
    <x v="2"/>
    <x v="1"/>
    <x v="2"/>
    <x v="3"/>
    <n v="2735"/>
    <n v="1653.49"/>
    <n v="0.05"/>
    <n v="82.674499999999995"/>
  </r>
  <r>
    <n v="62"/>
    <d v="2024-03-03T00:00:00"/>
    <x v="0"/>
    <x v="2"/>
    <x v="2"/>
    <x v="3"/>
    <x v="1"/>
    <n v="4768"/>
    <n v="5418.5"/>
    <n v="7.0000000000000007E-2"/>
    <n v="379.29500000000002"/>
  </r>
  <r>
    <n v="63"/>
    <d v="2024-03-04T00:00:00"/>
    <x v="0"/>
    <x v="2"/>
    <x v="2"/>
    <x v="3"/>
    <x v="3"/>
    <n v="4573"/>
    <n v="5517.21"/>
    <n v="7.0000000000000007E-2"/>
    <n v="386.2047"/>
  </r>
  <r>
    <n v="64"/>
    <d v="2024-03-05T00:00:00"/>
    <x v="0"/>
    <x v="2"/>
    <x v="2"/>
    <x v="2"/>
    <x v="3"/>
    <n v="2520"/>
    <n v="1339.6"/>
    <n v="7.0000000000000007E-2"/>
    <n v="93.772000000000006"/>
  </r>
  <r>
    <n v="65"/>
    <d v="2024-03-06T00:00:00"/>
    <x v="0"/>
    <x v="2"/>
    <x v="2"/>
    <x v="4"/>
    <x v="3"/>
    <n v="4599"/>
    <n v="6605.14"/>
    <n v="7.0000000000000007E-2"/>
    <n v="462.35980000000001"/>
  </r>
  <r>
    <n v="66"/>
    <d v="2024-03-07T00:00:00"/>
    <x v="0"/>
    <x v="2"/>
    <x v="2"/>
    <x v="0"/>
    <x v="3"/>
    <n v="2236"/>
    <n v="1234.21"/>
    <n v="7.0000000000000007E-2"/>
    <n v="86.3947"/>
  </r>
  <r>
    <n v="67"/>
    <d v="2024-03-08T00:00:00"/>
    <x v="0"/>
    <x v="2"/>
    <x v="2"/>
    <x v="3"/>
    <x v="1"/>
    <n v="3304"/>
    <n v="3440.44"/>
    <n v="7.0000000000000007E-2"/>
    <n v="240.83080000000001"/>
  </r>
  <r>
    <n v="68"/>
    <d v="2024-03-09T00:00:00"/>
    <x v="0"/>
    <x v="2"/>
    <x v="2"/>
    <x v="2"/>
    <x v="3"/>
    <n v="3781"/>
    <n v="4571.46"/>
    <n v="7.0000000000000007E-2"/>
    <n v="320.00220000000002"/>
  </r>
  <r>
    <n v="69"/>
    <d v="2024-03-10T00:00:00"/>
    <x v="0"/>
    <x v="2"/>
    <x v="1"/>
    <x v="1"/>
    <x v="1"/>
    <n v="3301"/>
    <n v="4525.57"/>
    <n v="0.05"/>
    <n v="226.27850000000001"/>
  </r>
  <r>
    <n v="70"/>
    <d v="2024-03-11T00:00:00"/>
    <x v="0"/>
    <x v="2"/>
    <x v="0"/>
    <x v="2"/>
    <x v="1"/>
    <n v="4541"/>
    <n v="5513.17"/>
    <n v="0.04"/>
    <n v="220.52680000000001"/>
  </r>
  <r>
    <n v="71"/>
    <d v="2024-03-12T00:00:00"/>
    <x v="0"/>
    <x v="2"/>
    <x v="2"/>
    <x v="1"/>
    <x v="0"/>
    <n v="4051"/>
    <n v="5273.3"/>
    <n v="7.0000000000000007E-2"/>
    <n v="369.13099999999997"/>
  </r>
  <r>
    <n v="72"/>
    <d v="2024-03-13T00:00:00"/>
    <x v="0"/>
    <x v="2"/>
    <x v="2"/>
    <x v="4"/>
    <x v="2"/>
    <n v="4713"/>
    <n v="3956.33"/>
    <n v="7.0000000000000007E-2"/>
    <n v="276.94310000000002"/>
  </r>
  <r>
    <n v="73"/>
    <d v="2024-03-14T00:00:00"/>
    <x v="0"/>
    <x v="2"/>
    <x v="2"/>
    <x v="0"/>
    <x v="2"/>
    <n v="2441"/>
    <n v="3209.49"/>
    <n v="7.0000000000000007E-2"/>
    <n v="224.6643"/>
  </r>
  <r>
    <n v="74"/>
    <d v="2024-03-15T00:00:00"/>
    <x v="0"/>
    <x v="2"/>
    <x v="2"/>
    <x v="2"/>
    <x v="1"/>
    <n v="4076"/>
    <n v="2364.5500000000002"/>
    <n v="7.0000000000000007E-2"/>
    <n v="165.51849999999999"/>
  </r>
  <r>
    <n v="75"/>
    <d v="2024-03-16T00:00:00"/>
    <x v="0"/>
    <x v="2"/>
    <x v="2"/>
    <x v="5"/>
    <x v="0"/>
    <n v="4657"/>
    <n v="6495.66"/>
    <n v="7.0000000000000007E-2"/>
    <n v="454.69619999999998"/>
  </r>
  <r>
    <n v="76"/>
    <d v="2024-03-17T00:00:00"/>
    <x v="0"/>
    <x v="2"/>
    <x v="2"/>
    <x v="5"/>
    <x v="1"/>
    <n v="2804"/>
    <n v="2937.45"/>
    <n v="7.0000000000000007E-2"/>
    <n v="205.6215"/>
  </r>
  <r>
    <n v="77"/>
    <d v="2024-03-18T00:00:00"/>
    <x v="0"/>
    <x v="2"/>
    <x v="0"/>
    <x v="6"/>
    <x v="1"/>
    <n v="2074"/>
    <n v="2732.08"/>
    <n v="0.04"/>
    <n v="109.28319999999999"/>
  </r>
  <r>
    <n v="78"/>
    <d v="2024-03-19T00:00:00"/>
    <x v="0"/>
    <x v="2"/>
    <x v="0"/>
    <x v="3"/>
    <x v="1"/>
    <n v="4885"/>
    <n v="4652.07"/>
    <n v="0.04"/>
    <n v="186.08279999999999"/>
  </r>
  <r>
    <n v="79"/>
    <d v="2024-03-21T00:00:00"/>
    <x v="0"/>
    <x v="2"/>
    <x v="0"/>
    <x v="2"/>
    <x v="2"/>
    <n v="4089"/>
    <n v="4196.96"/>
    <n v="0.04"/>
    <n v="167.8784"/>
  </r>
  <r>
    <n v="80"/>
    <d v="2024-03-22T00:00:00"/>
    <x v="0"/>
    <x v="2"/>
    <x v="1"/>
    <x v="5"/>
    <x v="0"/>
    <n v="3379"/>
    <n v="4161.54"/>
    <n v="0.05"/>
    <n v="208.077"/>
  </r>
  <r>
    <n v="81"/>
    <d v="2024-03-23T00:00:00"/>
    <x v="0"/>
    <x v="2"/>
    <x v="2"/>
    <x v="3"/>
    <x v="3"/>
    <n v="2040"/>
    <n v="1186.53"/>
    <n v="7.0000000000000007E-2"/>
    <n v="83.057100000000005"/>
  </r>
  <r>
    <n v="82"/>
    <d v="2024-03-24T00:00:00"/>
    <x v="0"/>
    <x v="2"/>
    <x v="1"/>
    <x v="5"/>
    <x v="0"/>
    <n v="4981"/>
    <n v="2791.11"/>
    <n v="0.05"/>
    <n v="139.55549999999999"/>
  </r>
  <r>
    <n v="83"/>
    <d v="2024-03-25T00:00:00"/>
    <x v="0"/>
    <x v="2"/>
    <x v="1"/>
    <x v="2"/>
    <x v="0"/>
    <n v="4081"/>
    <n v="3048.93"/>
    <n v="0.05"/>
    <n v="152.44649999999999"/>
  </r>
  <r>
    <n v="84"/>
    <d v="2024-03-26T00:00:00"/>
    <x v="0"/>
    <x v="2"/>
    <x v="2"/>
    <x v="1"/>
    <x v="0"/>
    <n v="3700"/>
    <n v="2440.3200000000002"/>
    <n v="7.0000000000000007E-2"/>
    <n v="170.82239999999999"/>
  </r>
  <r>
    <n v="85"/>
    <d v="2024-03-27T00:00:00"/>
    <x v="0"/>
    <x v="2"/>
    <x v="0"/>
    <x v="2"/>
    <x v="0"/>
    <n v="3401"/>
    <n v="4665.4399999999996"/>
    <n v="0.04"/>
    <n v="186.61760000000001"/>
  </r>
  <r>
    <n v="86"/>
    <d v="2024-03-28T00:00:00"/>
    <x v="0"/>
    <x v="2"/>
    <x v="1"/>
    <x v="6"/>
    <x v="2"/>
    <n v="2587"/>
    <n v="1860.61"/>
    <n v="0.05"/>
    <n v="93.030500000000004"/>
  </r>
  <r>
    <n v="87"/>
    <d v="2024-03-29T00:00:00"/>
    <x v="0"/>
    <x v="2"/>
    <x v="2"/>
    <x v="2"/>
    <x v="3"/>
    <n v="3622"/>
    <n v="5345.58"/>
    <n v="7.0000000000000007E-2"/>
    <n v="374.19060000000002"/>
  </r>
  <r>
    <n v="88"/>
    <d v="2024-03-30T00:00:00"/>
    <x v="0"/>
    <x v="2"/>
    <x v="1"/>
    <x v="2"/>
    <x v="2"/>
    <n v="2341"/>
    <n v="1959.17"/>
    <n v="0.05"/>
    <n v="97.958500000000001"/>
  </r>
  <r>
    <n v="89"/>
    <d v="2024-03-31T00:00:00"/>
    <x v="0"/>
    <x v="2"/>
    <x v="1"/>
    <x v="6"/>
    <x v="2"/>
    <n v="4074"/>
    <n v="2778.95"/>
    <n v="0.05"/>
    <n v="138.94749999999999"/>
  </r>
  <r>
    <n v="90"/>
    <d v="2024-04-01T00:00:00"/>
    <x v="0"/>
    <x v="3"/>
    <x v="1"/>
    <x v="4"/>
    <x v="0"/>
    <n v="2645"/>
    <n v="3411.25"/>
    <n v="0.05"/>
    <n v="170.5625"/>
  </r>
  <r>
    <n v="91"/>
    <d v="2024-04-02T00:00:00"/>
    <x v="0"/>
    <x v="3"/>
    <x v="1"/>
    <x v="2"/>
    <x v="1"/>
    <n v="2730"/>
    <n v="3163.27"/>
    <n v="0.05"/>
    <n v="158.1635"/>
  </r>
  <r>
    <n v="92"/>
    <d v="2024-04-03T00:00:00"/>
    <x v="0"/>
    <x v="3"/>
    <x v="0"/>
    <x v="6"/>
    <x v="1"/>
    <n v="2167"/>
    <n v="2163.09"/>
    <n v="0.04"/>
    <n v="86.523600000000002"/>
  </r>
  <r>
    <n v="93"/>
    <d v="2024-04-04T00:00:00"/>
    <x v="0"/>
    <x v="3"/>
    <x v="1"/>
    <x v="3"/>
    <x v="2"/>
    <n v="2609"/>
    <n v="2753.44"/>
    <n v="0.05"/>
    <n v="137.672"/>
  </r>
  <r>
    <n v="94"/>
    <d v="2024-04-06T00:00:00"/>
    <x v="0"/>
    <x v="3"/>
    <x v="1"/>
    <x v="1"/>
    <x v="0"/>
    <n v="3772"/>
    <n v="2747.73"/>
    <n v="0.05"/>
    <n v="137.38650000000001"/>
  </r>
  <r>
    <n v="95"/>
    <d v="2024-04-07T00:00:00"/>
    <x v="0"/>
    <x v="3"/>
    <x v="0"/>
    <x v="2"/>
    <x v="2"/>
    <n v="4040"/>
    <n v="6045.19"/>
    <n v="0.04"/>
    <n v="241.80760000000001"/>
  </r>
  <r>
    <n v="96"/>
    <d v="2024-04-08T00:00:00"/>
    <x v="0"/>
    <x v="3"/>
    <x v="1"/>
    <x v="4"/>
    <x v="0"/>
    <n v="4868"/>
    <n v="7179.29"/>
    <n v="0.05"/>
    <n v="358.96449999999999"/>
  </r>
  <r>
    <n v="97"/>
    <d v="2024-04-09T00:00:00"/>
    <x v="0"/>
    <x v="3"/>
    <x v="1"/>
    <x v="4"/>
    <x v="1"/>
    <n v="2454"/>
    <n v="2822.9"/>
    <n v="0.05"/>
    <n v="141.14500000000001"/>
  </r>
  <r>
    <n v="98"/>
    <d v="2024-04-10T00:00:00"/>
    <x v="0"/>
    <x v="3"/>
    <x v="0"/>
    <x v="3"/>
    <x v="1"/>
    <n v="4953"/>
    <n v="3464.83"/>
    <n v="0.04"/>
    <n v="138.5932"/>
  </r>
  <r>
    <n v="99"/>
    <d v="2024-04-11T00:00:00"/>
    <x v="0"/>
    <x v="3"/>
    <x v="0"/>
    <x v="2"/>
    <x v="3"/>
    <n v="3708"/>
    <n v="4376.29"/>
    <n v="0.04"/>
    <n v="175.05160000000001"/>
  </r>
  <r>
    <n v="100"/>
    <d v="2024-04-12T00:00:00"/>
    <x v="0"/>
    <x v="3"/>
    <x v="0"/>
    <x v="1"/>
    <x v="1"/>
    <n v="4969"/>
    <n v="2843.25"/>
    <n v="0.04"/>
    <n v="113.73"/>
  </r>
  <r>
    <n v="101"/>
    <d v="2024-04-13T00:00:00"/>
    <x v="0"/>
    <x v="3"/>
    <x v="1"/>
    <x v="4"/>
    <x v="2"/>
    <n v="2701"/>
    <n v="1433.29"/>
    <n v="0.05"/>
    <n v="71.664500000000004"/>
  </r>
  <r>
    <n v="102"/>
    <d v="2024-04-14T00:00:00"/>
    <x v="0"/>
    <x v="3"/>
    <x v="0"/>
    <x v="2"/>
    <x v="1"/>
    <n v="4681"/>
    <n v="3546.71"/>
    <n v="0.04"/>
    <n v="141.86840000000001"/>
  </r>
  <r>
    <n v="103"/>
    <d v="2024-04-15T00:00:00"/>
    <x v="0"/>
    <x v="3"/>
    <x v="0"/>
    <x v="5"/>
    <x v="0"/>
    <n v="3599"/>
    <n v="3464.48"/>
    <n v="0.04"/>
    <n v="138.57919999999999"/>
  </r>
  <r>
    <n v="104"/>
    <d v="2024-04-16T00:00:00"/>
    <x v="0"/>
    <x v="3"/>
    <x v="1"/>
    <x v="4"/>
    <x v="1"/>
    <n v="2129"/>
    <n v="2913.05"/>
    <n v="0.05"/>
    <n v="145.6525"/>
  </r>
  <r>
    <n v="105"/>
    <d v="2024-04-17T00:00:00"/>
    <x v="0"/>
    <x v="3"/>
    <x v="0"/>
    <x v="6"/>
    <x v="3"/>
    <n v="3845"/>
    <n v="4718.47"/>
    <n v="0.04"/>
    <n v="188.7388"/>
  </r>
  <r>
    <n v="106"/>
    <d v="2024-04-18T00:00:00"/>
    <x v="0"/>
    <x v="3"/>
    <x v="1"/>
    <x v="5"/>
    <x v="1"/>
    <n v="3386"/>
    <n v="4207.8"/>
    <n v="0.05"/>
    <n v="210.39"/>
  </r>
  <r>
    <n v="107"/>
    <d v="2024-04-19T00:00:00"/>
    <x v="0"/>
    <x v="3"/>
    <x v="2"/>
    <x v="4"/>
    <x v="0"/>
    <n v="4866"/>
    <n v="4503.45"/>
    <n v="7.0000000000000007E-2"/>
    <n v="315.24149999999997"/>
  </r>
  <r>
    <n v="108"/>
    <d v="2024-04-20T00:00:00"/>
    <x v="0"/>
    <x v="3"/>
    <x v="0"/>
    <x v="1"/>
    <x v="0"/>
    <n v="2692"/>
    <n v="2277.2600000000002"/>
    <n v="0.04"/>
    <n v="91.090400000000002"/>
  </r>
  <r>
    <n v="109"/>
    <d v="2024-04-21T00:00:00"/>
    <x v="0"/>
    <x v="3"/>
    <x v="2"/>
    <x v="0"/>
    <x v="2"/>
    <n v="3394"/>
    <n v="2956.31"/>
    <n v="7.0000000000000007E-2"/>
    <n v="206.9417"/>
  </r>
  <r>
    <n v="110"/>
    <d v="2024-04-22T00:00:00"/>
    <x v="0"/>
    <x v="3"/>
    <x v="1"/>
    <x v="5"/>
    <x v="1"/>
    <n v="2793"/>
    <n v="4155.01"/>
    <n v="0.05"/>
    <n v="207.75049999999999"/>
  </r>
  <r>
    <n v="111"/>
    <d v="2024-04-23T00:00:00"/>
    <x v="0"/>
    <x v="3"/>
    <x v="0"/>
    <x v="3"/>
    <x v="0"/>
    <n v="2028"/>
    <n v="1095.3399999999999"/>
    <n v="0.04"/>
    <n v="43.813600000000001"/>
  </r>
  <r>
    <n v="112"/>
    <d v="2024-04-24T00:00:00"/>
    <x v="0"/>
    <x v="3"/>
    <x v="1"/>
    <x v="3"/>
    <x v="3"/>
    <n v="2148"/>
    <n v="2936.38"/>
    <n v="0.05"/>
    <n v="146.81899999999999"/>
  </r>
  <r>
    <n v="113"/>
    <d v="2024-04-25T00:00:00"/>
    <x v="0"/>
    <x v="3"/>
    <x v="2"/>
    <x v="1"/>
    <x v="2"/>
    <n v="3319"/>
    <n v="3580.12"/>
    <n v="7.0000000000000007E-2"/>
    <n v="250.60839999999999"/>
  </r>
  <r>
    <n v="114"/>
    <d v="2024-04-26T00:00:00"/>
    <x v="0"/>
    <x v="3"/>
    <x v="1"/>
    <x v="4"/>
    <x v="3"/>
    <n v="4058"/>
    <n v="3808.9"/>
    <n v="0.05"/>
    <n v="190.44499999999999"/>
  </r>
  <r>
    <n v="115"/>
    <d v="2024-04-27T00:00:00"/>
    <x v="0"/>
    <x v="3"/>
    <x v="0"/>
    <x v="2"/>
    <x v="1"/>
    <n v="4723"/>
    <n v="5786.89"/>
    <n v="0.04"/>
    <n v="231.47559999999999"/>
  </r>
  <r>
    <n v="116"/>
    <d v="2024-04-28T00:00:00"/>
    <x v="0"/>
    <x v="3"/>
    <x v="0"/>
    <x v="4"/>
    <x v="1"/>
    <n v="3136"/>
    <n v="3094.19"/>
    <n v="0.04"/>
    <n v="123.7676"/>
  </r>
  <r>
    <n v="117"/>
    <d v="2024-04-29T00:00:00"/>
    <x v="0"/>
    <x v="3"/>
    <x v="2"/>
    <x v="1"/>
    <x v="1"/>
    <n v="2186"/>
    <n v="3002.3"/>
    <n v="7.0000000000000007E-2"/>
    <n v="210.161"/>
  </r>
  <r>
    <n v="118"/>
    <d v="2024-04-30T00:00:00"/>
    <x v="0"/>
    <x v="3"/>
    <x v="1"/>
    <x v="3"/>
    <x v="2"/>
    <n v="4854"/>
    <n v="6799.01"/>
    <n v="0.05"/>
    <n v="339.95049999999998"/>
  </r>
  <r>
    <n v="119"/>
    <d v="2024-05-01T00:00:00"/>
    <x v="0"/>
    <x v="4"/>
    <x v="0"/>
    <x v="4"/>
    <x v="0"/>
    <n v="4791"/>
    <n v="4415.96"/>
    <n v="0.04"/>
    <n v="176.63839999999999"/>
  </r>
  <r>
    <n v="120"/>
    <d v="2024-05-02T00:00:00"/>
    <x v="0"/>
    <x v="4"/>
    <x v="2"/>
    <x v="3"/>
    <x v="2"/>
    <n v="3250"/>
    <n v="2524.69"/>
    <n v="7.0000000000000007E-2"/>
    <n v="176.72829999999999"/>
  </r>
  <r>
    <n v="121"/>
    <d v="2024-05-03T00:00:00"/>
    <x v="0"/>
    <x v="4"/>
    <x v="0"/>
    <x v="5"/>
    <x v="3"/>
    <n v="3333"/>
    <n v="3640.8"/>
    <n v="0.04"/>
    <n v="145.63200000000001"/>
  </r>
  <r>
    <n v="122"/>
    <d v="2024-05-04T00:00:00"/>
    <x v="0"/>
    <x v="4"/>
    <x v="0"/>
    <x v="2"/>
    <x v="2"/>
    <n v="2097"/>
    <n v="2961.73"/>
    <n v="0.04"/>
    <n v="118.4692"/>
  </r>
  <r>
    <n v="123"/>
    <d v="2024-05-05T00:00:00"/>
    <x v="0"/>
    <x v="4"/>
    <x v="1"/>
    <x v="5"/>
    <x v="3"/>
    <n v="2054"/>
    <n v="1459.7"/>
    <n v="0.05"/>
    <n v="72.984999999999999"/>
  </r>
  <r>
    <n v="124"/>
    <d v="2024-05-06T00:00:00"/>
    <x v="0"/>
    <x v="4"/>
    <x v="0"/>
    <x v="3"/>
    <x v="2"/>
    <n v="4670"/>
    <n v="5244.25"/>
    <n v="0.04"/>
    <n v="209.77"/>
  </r>
  <r>
    <n v="125"/>
    <d v="2024-05-07T00:00:00"/>
    <x v="0"/>
    <x v="4"/>
    <x v="1"/>
    <x v="3"/>
    <x v="0"/>
    <n v="4711"/>
    <n v="5330.78"/>
    <n v="0.05"/>
    <n v="266.53899999999999"/>
  </r>
  <r>
    <n v="126"/>
    <d v="2024-05-08T00:00:00"/>
    <x v="0"/>
    <x v="4"/>
    <x v="0"/>
    <x v="0"/>
    <x v="3"/>
    <n v="2757"/>
    <n v="3399.69"/>
    <n v="0.04"/>
    <n v="135.98759999999999"/>
  </r>
  <r>
    <n v="127"/>
    <d v="2024-05-09T00:00:00"/>
    <x v="0"/>
    <x v="4"/>
    <x v="2"/>
    <x v="0"/>
    <x v="1"/>
    <n v="2405"/>
    <n v="1518.92"/>
    <n v="7.0000000000000007E-2"/>
    <n v="106.3244"/>
  </r>
  <r>
    <n v="128"/>
    <d v="2024-05-11T00:00:00"/>
    <x v="0"/>
    <x v="4"/>
    <x v="1"/>
    <x v="6"/>
    <x v="2"/>
    <n v="3312"/>
    <n v="4666.72"/>
    <n v="0.05"/>
    <n v="233.33600000000001"/>
  </r>
  <r>
    <n v="129"/>
    <d v="2024-05-12T00:00:00"/>
    <x v="0"/>
    <x v="4"/>
    <x v="1"/>
    <x v="5"/>
    <x v="1"/>
    <n v="3785"/>
    <n v="2572.6"/>
    <n v="0.05"/>
    <n v="128.63"/>
  </r>
  <r>
    <n v="130"/>
    <d v="2024-05-13T00:00:00"/>
    <x v="0"/>
    <x v="4"/>
    <x v="2"/>
    <x v="0"/>
    <x v="3"/>
    <n v="2750"/>
    <n v="2028.24"/>
    <n v="7.0000000000000007E-2"/>
    <n v="141.9768"/>
  </r>
  <r>
    <n v="131"/>
    <d v="2024-05-14T00:00:00"/>
    <x v="0"/>
    <x v="4"/>
    <x v="0"/>
    <x v="3"/>
    <x v="1"/>
    <n v="3762"/>
    <n v="5535.39"/>
    <n v="0.04"/>
    <n v="221.41560000000001"/>
  </r>
  <r>
    <n v="132"/>
    <d v="2024-05-15T00:00:00"/>
    <x v="0"/>
    <x v="4"/>
    <x v="0"/>
    <x v="1"/>
    <x v="0"/>
    <n v="2364"/>
    <n v="1609.83"/>
    <n v="0.04"/>
    <n v="64.393199999999993"/>
  </r>
  <r>
    <n v="133"/>
    <d v="2024-05-16T00:00:00"/>
    <x v="0"/>
    <x v="4"/>
    <x v="2"/>
    <x v="5"/>
    <x v="0"/>
    <n v="4026"/>
    <n v="5452.75"/>
    <n v="7.0000000000000007E-2"/>
    <n v="381.6925"/>
  </r>
  <r>
    <n v="134"/>
    <d v="2024-05-17T00:00:00"/>
    <x v="0"/>
    <x v="4"/>
    <x v="0"/>
    <x v="3"/>
    <x v="2"/>
    <n v="2481"/>
    <n v="2461.84"/>
    <n v="0.04"/>
    <n v="98.473600000000005"/>
  </r>
  <r>
    <n v="135"/>
    <d v="2024-05-18T00:00:00"/>
    <x v="0"/>
    <x v="4"/>
    <x v="0"/>
    <x v="1"/>
    <x v="3"/>
    <n v="4248"/>
    <n v="3174.24"/>
    <n v="0.04"/>
    <n v="126.9696"/>
  </r>
  <r>
    <n v="136"/>
    <d v="2024-05-19T00:00:00"/>
    <x v="0"/>
    <x v="4"/>
    <x v="1"/>
    <x v="1"/>
    <x v="0"/>
    <n v="2153"/>
    <n v="2951.22"/>
    <n v="0.05"/>
    <n v="147.56100000000001"/>
  </r>
  <r>
    <n v="137"/>
    <d v="2024-05-20T00:00:00"/>
    <x v="0"/>
    <x v="4"/>
    <x v="0"/>
    <x v="0"/>
    <x v="0"/>
    <n v="3524"/>
    <n v="3331.26"/>
    <n v="0.04"/>
    <n v="133.25040000000001"/>
  </r>
  <r>
    <n v="138"/>
    <d v="2024-05-21T00:00:00"/>
    <x v="0"/>
    <x v="4"/>
    <x v="0"/>
    <x v="5"/>
    <x v="3"/>
    <n v="4120"/>
    <n v="4181.05"/>
    <n v="0.04"/>
    <n v="167.24199999999999"/>
  </r>
  <r>
    <n v="139"/>
    <d v="2024-05-22T00:00:00"/>
    <x v="0"/>
    <x v="4"/>
    <x v="2"/>
    <x v="4"/>
    <x v="1"/>
    <n v="4760"/>
    <n v="4089.95"/>
    <n v="7.0000000000000007E-2"/>
    <n v="286.29649999999998"/>
  </r>
  <r>
    <n v="140"/>
    <d v="2024-05-23T00:00:00"/>
    <x v="0"/>
    <x v="4"/>
    <x v="2"/>
    <x v="2"/>
    <x v="1"/>
    <n v="4343"/>
    <n v="4746.6899999999996"/>
    <n v="7.0000000000000007E-2"/>
    <n v="332.26830000000001"/>
  </r>
  <r>
    <n v="141"/>
    <d v="2024-05-24T00:00:00"/>
    <x v="0"/>
    <x v="4"/>
    <x v="1"/>
    <x v="0"/>
    <x v="2"/>
    <n v="3040"/>
    <n v="2017.11"/>
    <n v="0.05"/>
    <n v="100.85550000000001"/>
  </r>
  <r>
    <n v="142"/>
    <d v="2024-05-25T00:00:00"/>
    <x v="0"/>
    <x v="4"/>
    <x v="0"/>
    <x v="0"/>
    <x v="1"/>
    <n v="3664"/>
    <n v="3264.92"/>
    <n v="0.04"/>
    <n v="130.5968"/>
  </r>
  <r>
    <n v="143"/>
    <d v="2024-05-26T00:00:00"/>
    <x v="0"/>
    <x v="4"/>
    <x v="0"/>
    <x v="4"/>
    <x v="3"/>
    <n v="3240"/>
    <n v="4760.8999999999996"/>
    <n v="0.04"/>
    <n v="190.43600000000001"/>
  </r>
  <r>
    <n v="144"/>
    <d v="2024-05-27T00:00:00"/>
    <x v="0"/>
    <x v="4"/>
    <x v="0"/>
    <x v="2"/>
    <x v="0"/>
    <n v="2060"/>
    <n v="1561.75"/>
    <n v="0.04"/>
    <n v="62.47"/>
  </r>
  <r>
    <n v="145"/>
    <d v="2024-05-28T00:00:00"/>
    <x v="0"/>
    <x v="4"/>
    <x v="1"/>
    <x v="3"/>
    <x v="1"/>
    <n v="2938"/>
    <n v="3398.49"/>
    <n v="0.05"/>
    <n v="169.92449999999999"/>
  </r>
  <r>
    <n v="146"/>
    <d v="2024-05-29T00:00:00"/>
    <x v="0"/>
    <x v="4"/>
    <x v="1"/>
    <x v="6"/>
    <x v="2"/>
    <n v="3639"/>
    <n v="3002.87"/>
    <n v="0.05"/>
    <n v="150.14349999999999"/>
  </r>
  <r>
    <n v="147"/>
    <d v="2024-05-30T00:00:00"/>
    <x v="0"/>
    <x v="4"/>
    <x v="2"/>
    <x v="5"/>
    <x v="1"/>
    <n v="4089"/>
    <n v="5207.2299999999996"/>
    <n v="7.0000000000000007E-2"/>
    <n v="364.5061"/>
  </r>
  <r>
    <n v="148"/>
    <d v="2024-05-31T00:00:00"/>
    <x v="0"/>
    <x v="4"/>
    <x v="1"/>
    <x v="6"/>
    <x v="3"/>
    <n v="2024"/>
    <n v="1276.8900000000001"/>
    <n v="0.05"/>
    <n v="63.844499999999996"/>
  </r>
  <r>
    <n v="149"/>
    <d v="2024-06-01T00:00:00"/>
    <x v="0"/>
    <x v="5"/>
    <x v="0"/>
    <x v="3"/>
    <x v="2"/>
    <n v="3062"/>
    <n v="4500.59"/>
    <n v="0.04"/>
    <n v="180.02359999999999"/>
  </r>
  <r>
    <n v="150"/>
    <d v="2024-06-02T00:00:00"/>
    <x v="0"/>
    <x v="5"/>
    <x v="0"/>
    <x v="0"/>
    <x v="1"/>
    <n v="2130"/>
    <n v="2031.57"/>
    <n v="0.04"/>
    <n v="81.262799999999999"/>
  </r>
  <r>
    <n v="151"/>
    <d v="2024-06-04T00:00:00"/>
    <x v="0"/>
    <x v="5"/>
    <x v="0"/>
    <x v="0"/>
    <x v="3"/>
    <n v="2107"/>
    <n v="1208.3599999999999"/>
    <n v="0.04"/>
    <n v="48.334400000000002"/>
  </r>
  <r>
    <n v="152"/>
    <d v="2024-06-05T00:00:00"/>
    <x v="0"/>
    <x v="5"/>
    <x v="0"/>
    <x v="1"/>
    <x v="0"/>
    <n v="2171"/>
    <n v="1454.04"/>
    <n v="0.04"/>
    <n v="58.1616"/>
  </r>
  <r>
    <n v="153"/>
    <d v="2024-06-06T00:00:00"/>
    <x v="0"/>
    <x v="5"/>
    <x v="1"/>
    <x v="0"/>
    <x v="3"/>
    <n v="3458"/>
    <n v="3526.38"/>
    <n v="0.05"/>
    <n v="176.31899999999999"/>
  </r>
  <r>
    <n v="154"/>
    <d v="2024-06-07T00:00:00"/>
    <x v="0"/>
    <x v="5"/>
    <x v="1"/>
    <x v="0"/>
    <x v="3"/>
    <n v="2101"/>
    <n v="1758.54"/>
    <n v="0.05"/>
    <n v="87.927000000000007"/>
  </r>
  <r>
    <n v="155"/>
    <d v="2024-06-08T00:00:00"/>
    <x v="0"/>
    <x v="5"/>
    <x v="0"/>
    <x v="3"/>
    <x v="3"/>
    <n v="4913"/>
    <n v="6528.8"/>
    <n v="0.04"/>
    <n v="261.15199999999999"/>
  </r>
  <r>
    <n v="156"/>
    <d v="2024-06-09T00:00:00"/>
    <x v="0"/>
    <x v="5"/>
    <x v="0"/>
    <x v="3"/>
    <x v="3"/>
    <n v="4571"/>
    <n v="4255.09"/>
    <n v="0.04"/>
    <n v="170.20359999999999"/>
  </r>
  <r>
    <n v="157"/>
    <d v="2024-06-10T00:00:00"/>
    <x v="0"/>
    <x v="5"/>
    <x v="0"/>
    <x v="3"/>
    <x v="0"/>
    <n v="4322"/>
    <n v="3235.94"/>
    <n v="0.04"/>
    <n v="129.4376"/>
  </r>
  <r>
    <n v="158"/>
    <d v="2024-06-11T00:00:00"/>
    <x v="0"/>
    <x v="5"/>
    <x v="2"/>
    <x v="6"/>
    <x v="0"/>
    <n v="3636"/>
    <n v="4061.94"/>
    <n v="7.0000000000000007E-2"/>
    <n v="284.33580000000001"/>
  </r>
  <r>
    <n v="159"/>
    <d v="2024-06-12T00:00:00"/>
    <x v="0"/>
    <x v="5"/>
    <x v="2"/>
    <x v="1"/>
    <x v="2"/>
    <n v="4864"/>
    <n v="5869.76"/>
    <n v="7.0000000000000007E-2"/>
    <n v="410.88319999999999"/>
  </r>
  <r>
    <n v="160"/>
    <d v="2024-06-13T00:00:00"/>
    <x v="0"/>
    <x v="5"/>
    <x v="2"/>
    <x v="3"/>
    <x v="1"/>
    <n v="3040"/>
    <n v="2027.81"/>
    <n v="7.0000000000000007E-2"/>
    <n v="141.94669999999999"/>
  </r>
  <r>
    <n v="161"/>
    <d v="2024-06-14T00:00:00"/>
    <x v="0"/>
    <x v="5"/>
    <x v="1"/>
    <x v="2"/>
    <x v="0"/>
    <n v="2329"/>
    <n v="1554.89"/>
    <n v="0.05"/>
    <n v="77.744500000000002"/>
  </r>
  <r>
    <n v="162"/>
    <d v="2024-06-15T00:00:00"/>
    <x v="0"/>
    <x v="5"/>
    <x v="2"/>
    <x v="6"/>
    <x v="0"/>
    <n v="3520"/>
    <n v="1889.08"/>
    <n v="7.0000000000000007E-2"/>
    <n v="132.23560000000001"/>
  </r>
  <r>
    <n v="163"/>
    <d v="2024-06-16T00:00:00"/>
    <x v="0"/>
    <x v="5"/>
    <x v="1"/>
    <x v="4"/>
    <x v="1"/>
    <n v="2011"/>
    <n v="2486.4"/>
    <n v="0.05"/>
    <n v="124.32"/>
  </r>
  <r>
    <n v="164"/>
    <d v="2024-06-17T00:00:00"/>
    <x v="0"/>
    <x v="5"/>
    <x v="1"/>
    <x v="2"/>
    <x v="0"/>
    <n v="3341"/>
    <n v="3888.27"/>
    <n v="0.05"/>
    <n v="194.4135"/>
  </r>
  <r>
    <n v="165"/>
    <d v="2024-06-18T00:00:00"/>
    <x v="0"/>
    <x v="5"/>
    <x v="2"/>
    <x v="5"/>
    <x v="3"/>
    <n v="2215"/>
    <n v="2158.81"/>
    <n v="7.0000000000000007E-2"/>
    <n v="151.11670000000001"/>
  </r>
  <r>
    <n v="166"/>
    <d v="2024-06-19T00:00:00"/>
    <x v="0"/>
    <x v="5"/>
    <x v="2"/>
    <x v="5"/>
    <x v="3"/>
    <n v="2338"/>
    <n v="3142.67"/>
    <n v="7.0000000000000007E-2"/>
    <n v="219.98689999999999"/>
  </r>
  <r>
    <n v="167"/>
    <d v="2024-06-20T00:00:00"/>
    <x v="0"/>
    <x v="5"/>
    <x v="2"/>
    <x v="2"/>
    <x v="1"/>
    <n v="3799"/>
    <n v="4960.24"/>
    <n v="7.0000000000000007E-2"/>
    <n v="347.21679999999998"/>
  </r>
  <r>
    <n v="168"/>
    <d v="2024-06-21T00:00:00"/>
    <x v="0"/>
    <x v="5"/>
    <x v="0"/>
    <x v="3"/>
    <x v="2"/>
    <n v="4708"/>
    <n v="5109.8500000000004"/>
    <n v="0.04"/>
    <n v="204.39400000000001"/>
  </r>
  <r>
    <n v="169"/>
    <d v="2024-06-22T00:00:00"/>
    <x v="0"/>
    <x v="5"/>
    <x v="2"/>
    <x v="4"/>
    <x v="2"/>
    <n v="3750"/>
    <n v="5131.0200000000004"/>
    <n v="7.0000000000000007E-2"/>
    <n v="359.17140000000001"/>
  </r>
  <r>
    <n v="170"/>
    <d v="2024-06-23T00:00:00"/>
    <x v="0"/>
    <x v="5"/>
    <x v="0"/>
    <x v="4"/>
    <x v="1"/>
    <n v="3508"/>
    <n v="2476.09"/>
    <n v="0.04"/>
    <n v="99.043599999999998"/>
  </r>
  <r>
    <n v="171"/>
    <d v="2024-06-24T00:00:00"/>
    <x v="0"/>
    <x v="5"/>
    <x v="1"/>
    <x v="6"/>
    <x v="1"/>
    <n v="4421"/>
    <n v="2705.3"/>
    <n v="0.05"/>
    <n v="135.26499999999999"/>
  </r>
  <r>
    <n v="172"/>
    <d v="2024-06-25T00:00:00"/>
    <x v="0"/>
    <x v="5"/>
    <x v="0"/>
    <x v="4"/>
    <x v="3"/>
    <n v="2709"/>
    <n v="2085.25"/>
    <n v="0.04"/>
    <n v="83.41"/>
  </r>
  <r>
    <n v="173"/>
    <d v="2024-06-26T00:00:00"/>
    <x v="0"/>
    <x v="5"/>
    <x v="2"/>
    <x v="5"/>
    <x v="2"/>
    <n v="3223"/>
    <n v="1795.49"/>
    <n v="7.0000000000000007E-2"/>
    <n v="125.68429999999999"/>
  </r>
  <r>
    <n v="174"/>
    <d v="2024-06-27T00:00:00"/>
    <x v="0"/>
    <x v="5"/>
    <x v="1"/>
    <x v="1"/>
    <x v="0"/>
    <n v="4513"/>
    <n v="4653.67"/>
    <n v="0.05"/>
    <n v="232.68350000000001"/>
  </r>
  <r>
    <n v="175"/>
    <d v="2024-06-28T00:00:00"/>
    <x v="0"/>
    <x v="5"/>
    <x v="1"/>
    <x v="3"/>
    <x v="3"/>
    <n v="3112"/>
    <n v="4470.72"/>
    <n v="0.05"/>
    <n v="223.536"/>
  </r>
  <r>
    <n v="176"/>
    <d v="2024-06-29T00:00:00"/>
    <x v="0"/>
    <x v="5"/>
    <x v="1"/>
    <x v="4"/>
    <x v="1"/>
    <n v="3291"/>
    <n v="1774.98"/>
    <n v="0.05"/>
    <n v="88.748999999999995"/>
  </r>
  <r>
    <n v="177"/>
    <d v="2024-06-30T00:00:00"/>
    <x v="0"/>
    <x v="5"/>
    <x v="0"/>
    <x v="6"/>
    <x v="2"/>
    <n v="2488"/>
    <n v="1547.81"/>
    <n v="0.04"/>
    <n v="61.912399999999998"/>
  </r>
  <r>
    <n v="178"/>
    <d v="2024-07-01T00:00:00"/>
    <x v="0"/>
    <x v="6"/>
    <x v="2"/>
    <x v="5"/>
    <x v="0"/>
    <n v="3561"/>
    <n v="3390.78"/>
    <n v="7.0000000000000007E-2"/>
    <n v="237.3546"/>
  </r>
  <r>
    <n v="179"/>
    <d v="2024-07-02T00:00:00"/>
    <x v="0"/>
    <x v="6"/>
    <x v="1"/>
    <x v="1"/>
    <x v="0"/>
    <n v="2046"/>
    <n v="2933.71"/>
    <n v="0.05"/>
    <n v="146.68549999999999"/>
  </r>
  <r>
    <n v="180"/>
    <d v="2024-07-03T00:00:00"/>
    <x v="0"/>
    <x v="6"/>
    <x v="1"/>
    <x v="0"/>
    <x v="3"/>
    <n v="2777"/>
    <n v="2266.4699999999998"/>
    <n v="0.05"/>
    <n v="113.3235"/>
  </r>
  <r>
    <n v="181"/>
    <d v="2024-07-04T00:00:00"/>
    <x v="0"/>
    <x v="6"/>
    <x v="1"/>
    <x v="0"/>
    <x v="2"/>
    <n v="3039"/>
    <n v="3060.99"/>
    <n v="0.05"/>
    <n v="153.04949999999999"/>
  </r>
  <r>
    <n v="182"/>
    <d v="2024-07-05T00:00:00"/>
    <x v="0"/>
    <x v="6"/>
    <x v="0"/>
    <x v="1"/>
    <x v="2"/>
    <n v="2710"/>
    <n v="1467.66"/>
    <n v="0.04"/>
    <n v="58.706400000000002"/>
  </r>
  <r>
    <n v="183"/>
    <d v="2024-07-06T00:00:00"/>
    <x v="0"/>
    <x v="6"/>
    <x v="0"/>
    <x v="5"/>
    <x v="1"/>
    <n v="2400"/>
    <n v="1556.02"/>
    <n v="0.04"/>
    <n v="62.2408"/>
  </r>
  <r>
    <n v="184"/>
    <d v="2024-07-07T00:00:00"/>
    <x v="0"/>
    <x v="6"/>
    <x v="2"/>
    <x v="6"/>
    <x v="2"/>
    <n v="3817"/>
    <n v="5674.47"/>
    <n v="7.0000000000000007E-2"/>
    <n v="397.21289999999999"/>
  </r>
  <r>
    <n v="185"/>
    <d v="2024-07-08T00:00:00"/>
    <x v="0"/>
    <x v="6"/>
    <x v="0"/>
    <x v="1"/>
    <x v="2"/>
    <n v="2249"/>
    <n v="3295.05"/>
    <n v="0.04"/>
    <n v="131.80199999999999"/>
  </r>
  <r>
    <n v="186"/>
    <d v="2024-07-09T00:00:00"/>
    <x v="0"/>
    <x v="6"/>
    <x v="1"/>
    <x v="3"/>
    <x v="3"/>
    <n v="2390"/>
    <n v="1206.81"/>
    <n v="0.05"/>
    <n v="60.340499999999999"/>
  </r>
  <r>
    <n v="187"/>
    <d v="2024-07-10T00:00:00"/>
    <x v="0"/>
    <x v="6"/>
    <x v="2"/>
    <x v="3"/>
    <x v="2"/>
    <n v="2334"/>
    <n v="3388.53"/>
    <n v="7.0000000000000007E-2"/>
    <n v="237.19710000000001"/>
  </r>
  <r>
    <n v="188"/>
    <d v="2024-07-11T00:00:00"/>
    <x v="0"/>
    <x v="6"/>
    <x v="1"/>
    <x v="0"/>
    <x v="0"/>
    <n v="2628"/>
    <n v="2993.61"/>
    <n v="0.05"/>
    <n v="149.68049999999999"/>
  </r>
  <r>
    <n v="189"/>
    <d v="2024-07-12T00:00:00"/>
    <x v="0"/>
    <x v="6"/>
    <x v="1"/>
    <x v="4"/>
    <x v="3"/>
    <n v="2136"/>
    <n v="2921.87"/>
    <n v="0.05"/>
    <n v="146.09350000000001"/>
  </r>
  <r>
    <n v="190"/>
    <d v="2024-07-13T00:00:00"/>
    <x v="0"/>
    <x v="6"/>
    <x v="0"/>
    <x v="6"/>
    <x v="3"/>
    <n v="4930"/>
    <n v="4706.87"/>
    <n v="0.04"/>
    <n v="188.2748"/>
  </r>
  <r>
    <n v="191"/>
    <d v="2024-07-14T00:00:00"/>
    <x v="0"/>
    <x v="6"/>
    <x v="2"/>
    <x v="0"/>
    <x v="1"/>
    <n v="4735"/>
    <n v="4808.8500000000004"/>
    <n v="7.0000000000000007E-2"/>
    <n v="336.61950000000002"/>
  </r>
  <r>
    <n v="192"/>
    <d v="2024-07-15T00:00:00"/>
    <x v="0"/>
    <x v="6"/>
    <x v="0"/>
    <x v="4"/>
    <x v="2"/>
    <n v="3521"/>
    <n v="3481.73"/>
    <n v="0.04"/>
    <n v="139.26920000000001"/>
  </r>
  <r>
    <n v="193"/>
    <d v="2024-07-16T00:00:00"/>
    <x v="0"/>
    <x v="6"/>
    <x v="0"/>
    <x v="4"/>
    <x v="1"/>
    <n v="2826"/>
    <n v="3297.56"/>
    <n v="0.04"/>
    <n v="131.9024"/>
  </r>
  <r>
    <n v="194"/>
    <d v="2024-07-17T00:00:00"/>
    <x v="0"/>
    <x v="6"/>
    <x v="2"/>
    <x v="3"/>
    <x v="0"/>
    <n v="2726"/>
    <n v="1743.69"/>
    <n v="7.0000000000000007E-2"/>
    <n v="122.0583"/>
  </r>
  <r>
    <n v="195"/>
    <d v="2024-07-18T00:00:00"/>
    <x v="0"/>
    <x v="6"/>
    <x v="1"/>
    <x v="5"/>
    <x v="3"/>
    <n v="3500"/>
    <n v="1854.91"/>
    <n v="0.05"/>
    <n v="92.745500000000007"/>
  </r>
  <r>
    <n v="196"/>
    <d v="2024-07-19T00:00:00"/>
    <x v="0"/>
    <x v="6"/>
    <x v="1"/>
    <x v="2"/>
    <x v="3"/>
    <n v="4641"/>
    <n v="3749.6"/>
    <n v="0.05"/>
    <n v="187.48"/>
  </r>
  <r>
    <n v="197"/>
    <d v="2024-07-20T00:00:00"/>
    <x v="0"/>
    <x v="6"/>
    <x v="2"/>
    <x v="5"/>
    <x v="3"/>
    <n v="2989"/>
    <n v="3600.79"/>
    <n v="7.0000000000000007E-2"/>
    <n v="252.05529999999999"/>
  </r>
  <r>
    <n v="198"/>
    <d v="2024-07-21T00:00:00"/>
    <x v="0"/>
    <x v="6"/>
    <x v="1"/>
    <x v="2"/>
    <x v="0"/>
    <n v="4419"/>
    <n v="3101.49"/>
    <n v="0.05"/>
    <n v="155.0745"/>
  </r>
  <r>
    <n v="199"/>
    <d v="2024-07-22T00:00:00"/>
    <x v="0"/>
    <x v="6"/>
    <x v="2"/>
    <x v="1"/>
    <x v="0"/>
    <n v="2934"/>
    <n v="3442.85"/>
    <n v="7.0000000000000007E-2"/>
    <n v="240.99950000000001"/>
  </r>
  <r>
    <n v="200"/>
    <d v="2024-07-23T00:00:00"/>
    <x v="0"/>
    <x v="6"/>
    <x v="2"/>
    <x v="3"/>
    <x v="1"/>
    <n v="2401"/>
    <n v="3529.26"/>
    <n v="7.0000000000000007E-2"/>
    <n v="247.04820000000001"/>
  </r>
  <r>
    <n v="201"/>
    <d v="2024-07-24T00:00:00"/>
    <x v="0"/>
    <x v="6"/>
    <x v="0"/>
    <x v="4"/>
    <x v="1"/>
    <n v="3466"/>
    <n v="2058.46"/>
    <n v="0.04"/>
    <n v="82.338399999999993"/>
  </r>
  <r>
    <n v="202"/>
    <d v="2024-07-25T00:00:00"/>
    <x v="0"/>
    <x v="6"/>
    <x v="2"/>
    <x v="6"/>
    <x v="1"/>
    <n v="2614"/>
    <n v="3065.18"/>
    <n v="7.0000000000000007E-2"/>
    <n v="214.5626"/>
  </r>
  <r>
    <n v="203"/>
    <d v="2024-07-26T00:00:00"/>
    <x v="0"/>
    <x v="6"/>
    <x v="0"/>
    <x v="2"/>
    <x v="2"/>
    <n v="3296"/>
    <n v="3110.6"/>
    <n v="0.04"/>
    <n v="124.42400000000001"/>
  </r>
  <r>
    <n v="204"/>
    <d v="2024-07-27T00:00:00"/>
    <x v="0"/>
    <x v="6"/>
    <x v="1"/>
    <x v="5"/>
    <x v="3"/>
    <n v="3182"/>
    <n v="4353.43"/>
    <n v="0.05"/>
    <n v="217.67150000000001"/>
  </r>
  <r>
    <n v="205"/>
    <d v="2024-07-28T00:00:00"/>
    <x v="0"/>
    <x v="6"/>
    <x v="1"/>
    <x v="4"/>
    <x v="3"/>
    <n v="4667"/>
    <n v="3160.26"/>
    <n v="0.05"/>
    <n v="158.01300000000001"/>
  </r>
  <r>
    <n v="206"/>
    <d v="2024-07-29T00:00:00"/>
    <x v="0"/>
    <x v="6"/>
    <x v="1"/>
    <x v="2"/>
    <x v="1"/>
    <n v="4235"/>
    <n v="5050.7700000000004"/>
    <n v="0.05"/>
    <n v="252.5385"/>
  </r>
  <r>
    <n v="207"/>
    <d v="2024-07-30T00:00:00"/>
    <x v="0"/>
    <x v="6"/>
    <x v="1"/>
    <x v="2"/>
    <x v="3"/>
    <n v="3121"/>
    <n v="4176.26"/>
    <n v="0.05"/>
    <n v="208.81299999999999"/>
  </r>
  <r>
    <n v="208"/>
    <d v="2024-07-31T00:00:00"/>
    <x v="0"/>
    <x v="6"/>
    <x v="0"/>
    <x v="2"/>
    <x v="1"/>
    <n v="2130"/>
    <n v="3077.03"/>
    <n v="0.04"/>
    <n v="123.0812"/>
  </r>
  <r>
    <n v="209"/>
    <d v="2024-08-01T00:00:00"/>
    <x v="0"/>
    <x v="7"/>
    <x v="1"/>
    <x v="6"/>
    <x v="2"/>
    <n v="4852"/>
    <n v="5741.12"/>
    <n v="0.05"/>
    <n v="287.05599999999998"/>
  </r>
  <r>
    <n v="210"/>
    <d v="2024-08-02T00:00:00"/>
    <x v="0"/>
    <x v="7"/>
    <x v="2"/>
    <x v="3"/>
    <x v="2"/>
    <n v="3194"/>
    <n v="3184.98"/>
    <n v="7.0000000000000007E-2"/>
    <n v="222.9486"/>
  </r>
  <r>
    <n v="211"/>
    <d v="2024-08-03T00:00:00"/>
    <x v="0"/>
    <x v="7"/>
    <x v="2"/>
    <x v="6"/>
    <x v="0"/>
    <n v="4983"/>
    <n v="5570.23"/>
    <n v="7.0000000000000007E-2"/>
    <n v="389.91609999999997"/>
  </r>
  <r>
    <n v="212"/>
    <d v="2024-08-04T00:00:00"/>
    <x v="0"/>
    <x v="7"/>
    <x v="2"/>
    <x v="0"/>
    <x v="2"/>
    <n v="2182"/>
    <n v="2986.95"/>
    <n v="7.0000000000000007E-2"/>
    <n v="209.0865"/>
  </r>
  <r>
    <n v="213"/>
    <d v="2024-08-05T00:00:00"/>
    <x v="0"/>
    <x v="7"/>
    <x v="0"/>
    <x v="4"/>
    <x v="1"/>
    <n v="2363"/>
    <n v="2529.85"/>
    <n v="0.04"/>
    <n v="101.194"/>
  </r>
  <r>
    <n v="214"/>
    <d v="2024-08-06T00:00:00"/>
    <x v="0"/>
    <x v="7"/>
    <x v="1"/>
    <x v="3"/>
    <x v="2"/>
    <n v="2038"/>
    <n v="1080.93"/>
    <n v="0.05"/>
    <n v="54.046500000000002"/>
  </r>
  <r>
    <n v="215"/>
    <d v="2024-08-07T00:00:00"/>
    <x v="0"/>
    <x v="7"/>
    <x v="1"/>
    <x v="3"/>
    <x v="0"/>
    <n v="4544"/>
    <n v="6502.23"/>
    <n v="0.05"/>
    <n v="325.11149999999998"/>
  </r>
  <r>
    <n v="216"/>
    <d v="2024-08-08T00:00:00"/>
    <x v="0"/>
    <x v="7"/>
    <x v="1"/>
    <x v="3"/>
    <x v="3"/>
    <n v="3372"/>
    <n v="4011.08"/>
    <n v="0.05"/>
    <n v="200.554"/>
  </r>
  <r>
    <n v="217"/>
    <d v="2024-08-09T00:00:00"/>
    <x v="0"/>
    <x v="7"/>
    <x v="0"/>
    <x v="5"/>
    <x v="1"/>
    <n v="2920"/>
    <n v="3435.42"/>
    <n v="0.04"/>
    <n v="137.41679999999999"/>
  </r>
  <r>
    <n v="218"/>
    <d v="2024-08-10T00:00:00"/>
    <x v="0"/>
    <x v="7"/>
    <x v="2"/>
    <x v="3"/>
    <x v="3"/>
    <n v="4769"/>
    <n v="3413.05"/>
    <n v="7.0000000000000007E-2"/>
    <n v="238.9135"/>
  </r>
  <r>
    <n v="219"/>
    <d v="2024-08-11T00:00:00"/>
    <x v="0"/>
    <x v="7"/>
    <x v="2"/>
    <x v="6"/>
    <x v="0"/>
    <n v="2015"/>
    <n v="2335.15"/>
    <n v="7.0000000000000007E-2"/>
    <n v="163.4605"/>
  </r>
  <r>
    <n v="220"/>
    <d v="2024-08-12T00:00:00"/>
    <x v="0"/>
    <x v="7"/>
    <x v="1"/>
    <x v="3"/>
    <x v="0"/>
    <n v="2492"/>
    <n v="2227.5100000000002"/>
    <n v="0.05"/>
    <n v="111.3755"/>
  </r>
  <r>
    <n v="221"/>
    <d v="2024-08-13T00:00:00"/>
    <x v="0"/>
    <x v="7"/>
    <x v="2"/>
    <x v="1"/>
    <x v="0"/>
    <n v="3449"/>
    <n v="3970.6"/>
    <n v="7.0000000000000007E-2"/>
    <n v="277.94200000000001"/>
  </r>
  <r>
    <n v="222"/>
    <d v="2024-08-14T00:00:00"/>
    <x v="0"/>
    <x v="7"/>
    <x v="2"/>
    <x v="4"/>
    <x v="3"/>
    <n v="3131"/>
    <n v="1899.24"/>
    <n v="7.0000000000000007E-2"/>
    <n v="132.9468"/>
  </r>
  <r>
    <n v="223"/>
    <d v="2024-08-15T00:00:00"/>
    <x v="0"/>
    <x v="7"/>
    <x v="0"/>
    <x v="3"/>
    <x v="3"/>
    <n v="4941"/>
    <n v="5720.91"/>
    <n v="0.04"/>
    <n v="228.8364"/>
  </r>
  <r>
    <n v="224"/>
    <d v="2024-08-16T00:00:00"/>
    <x v="0"/>
    <x v="7"/>
    <x v="0"/>
    <x v="4"/>
    <x v="3"/>
    <n v="2310"/>
    <n v="3463.65"/>
    <n v="0.04"/>
    <n v="138.54599999999999"/>
  </r>
  <r>
    <n v="225"/>
    <d v="2024-08-17T00:00:00"/>
    <x v="0"/>
    <x v="7"/>
    <x v="0"/>
    <x v="1"/>
    <x v="3"/>
    <n v="2738"/>
    <n v="1501"/>
    <n v="0.04"/>
    <n v="60.04"/>
  </r>
  <r>
    <n v="226"/>
    <d v="2024-08-18T00:00:00"/>
    <x v="0"/>
    <x v="7"/>
    <x v="0"/>
    <x v="1"/>
    <x v="0"/>
    <n v="2545"/>
    <n v="3759.41"/>
    <n v="0.04"/>
    <n v="150.37639999999999"/>
  </r>
  <r>
    <n v="227"/>
    <d v="2024-08-19T00:00:00"/>
    <x v="0"/>
    <x v="7"/>
    <x v="1"/>
    <x v="4"/>
    <x v="0"/>
    <n v="4461"/>
    <n v="4045.72"/>
    <n v="0.05"/>
    <n v="202.286"/>
  </r>
  <r>
    <n v="228"/>
    <d v="2024-08-20T00:00:00"/>
    <x v="0"/>
    <x v="7"/>
    <x v="0"/>
    <x v="2"/>
    <x v="1"/>
    <n v="2250"/>
    <n v="3084.2"/>
    <n v="0.04"/>
    <n v="123.36799999999999"/>
  </r>
  <r>
    <n v="229"/>
    <d v="2024-08-21T00:00:00"/>
    <x v="0"/>
    <x v="7"/>
    <x v="2"/>
    <x v="0"/>
    <x v="1"/>
    <n v="2758"/>
    <n v="3536.82"/>
    <n v="7.0000000000000007E-2"/>
    <n v="247.57740000000001"/>
  </r>
  <r>
    <n v="230"/>
    <d v="2024-08-22T00:00:00"/>
    <x v="0"/>
    <x v="7"/>
    <x v="1"/>
    <x v="5"/>
    <x v="3"/>
    <n v="3804"/>
    <n v="4058.93"/>
    <n v="0.05"/>
    <n v="202.94649999999999"/>
  </r>
  <r>
    <n v="231"/>
    <d v="2024-08-23T00:00:00"/>
    <x v="0"/>
    <x v="7"/>
    <x v="2"/>
    <x v="2"/>
    <x v="2"/>
    <n v="3297"/>
    <n v="4083.17"/>
    <n v="7.0000000000000007E-2"/>
    <n v="285.82190000000003"/>
  </r>
  <r>
    <n v="232"/>
    <d v="2024-08-24T00:00:00"/>
    <x v="0"/>
    <x v="7"/>
    <x v="2"/>
    <x v="2"/>
    <x v="2"/>
    <n v="3631"/>
    <n v="5005.3900000000003"/>
    <n v="7.0000000000000007E-2"/>
    <n v="350.37729999999999"/>
  </r>
  <r>
    <n v="233"/>
    <d v="2024-08-25T00:00:00"/>
    <x v="0"/>
    <x v="7"/>
    <x v="2"/>
    <x v="6"/>
    <x v="0"/>
    <n v="3914"/>
    <n v="3538.81"/>
    <n v="7.0000000000000007E-2"/>
    <n v="247.7167"/>
  </r>
  <r>
    <n v="234"/>
    <d v="2024-08-26T00:00:00"/>
    <x v="0"/>
    <x v="7"/>
    <x v="0"/>
    <x v="5"/>
    <x v="0"/>
    <n v="2813"/>
    <n v="2326.44"/>
    <n v="0.04"/>
    <n v="93.057599999999994"/>
  </r>
  <r>
    <n v="235"/>
    <d v="2024-08-27T00:00:00"/>
    <x v="0"/>
    <x v="7"/>
    <x v="0"/>
    <x v="5"/>
    <x v="0"/>
    <n v="2028"/>
    <n v="2367.88"/>
    <n v="0.04"/>
    <n v="94.715199999999996"/>
  </r>
  <r>
    <n v="236"/>
    <d v="2024-08-29T00:00:00"/>
    <x v="0"/>
    <x v="7"/>
    <x v="1"/>
    <x v="3"/>
    <x v="1"/>
    <n v="4032"/>
    <n v="5089.53"/>
    <n v="0.05"/>
    <n v="254.47649999999999"/>
  </r>
  <r>
    <n v="237"/>
    <d v="2024-08-30T00:00:00"/>
    <x v="0"/>
    <x v="7"/>
    <x v="0"/>
    <x v="6"/>
    <x v="0"/>
    <n v="2476"/>
    <n v="3213.39"/>
    <n v="0.04"/>
    <n v="128.53559999999999"/>
  </r>
  <r>
    <n v="238"/>
    <d v="2024-08-31T00:00:00"/>
    <x v="0"/>
    <x v="7"/>
    <x v="2"/>
    <x v="6"/>
    <x v="0"/>
    <n v="2317"/>
    <n v="2167.75"/>
    <n v="7.0000000000000007E-2"/>
    <n v="151.74250000000001"/>
  </r>
  <r>
    <n v="239"/>
    <d v="2024-09-01T00:00:00"/>
    <x v="0"/>
    <x v="8"/>
    <x v="1"/>
    <x v="1"/>
    <x v="0"/>
    <n v="2244"/>
    <n v="2957.22"/>
    <n v="0.05"/>
    <n v="147.86099999999999"/>
  </r>
  <r>
    <n v="240"/>
    <d v="2024-09-02T00:00:00"/>
    <x v="0"/>
    <x v="8"/>
    <x v="0"/>
    <x v="5"/>
    <x v="2"/>
    <n v="2747"/>
    <n v="1703.71"/>
    <n v="0.04"/>
    <n v="68.148399999999995"/>
  </r>
  <r>
    <n v="241"/>
    <d v="2024-09-03T00:00:00"/>
    <x v="0"/>
    <x v="8"/>
    <x v="0"/>
    <x v="2"/>
    <x v="1"/>
    <n v="2696"/>
    <n v="2815.94"/>
    <n v="0.04"/>
    <n v="112.63760000000001"/>
  </r>
  <r>
    <n v="242"/>
    <d v="2024-09-04T00:00:00"/>
    <x v="0"/>
    <x v="8"/>
    <x v="0"/>
    <x v="1"/>
    <x v="2"/>
    <n v="2271"/>
    <n v="1148.58"/>
    <n v="0.04"/>
    <n v="45.943199999999997"/>
  </r>
  <r>
    <n v="243"/>
    <d v="2024-09-05T00:00:00"/>
    <x v="0"/>
    <x v="8"/>
    <x v="2"/>
    <x v="4"/>
    <x v="2"/>
    <n v="3771"/>
    <n v="3109.51"/>
    <n v="7.0000000000000007E-2"/>
    <n v="217.66569999999999"/>
  </r>
  <r>
    <n v="244"/>
    <d v="2024-09-06T00:00:00"/>
    <x v="0"/>
    <x v="8"/>
    <x v="0"/>
    <x v="0"/>
    <x v="0"/>
    <n v="3262"/>
    <n v="2826.4"/>
    <n v="0.04"/>
    <n v="113.056"/>
  </r>
  <r>
    <n v="245"/>
    <d v="2024-09-07T00:00:00"/>
    <x v="0"/>
    <x v="8"/>
    <x v="0"/>
    <x v="6"/>
    <x v="0"/>
    <n v="4424"/>
    <n v="3964.67"/>
    <n v="0.04"/>
    <n v="158.58680000000001"/>
  </r>
  <r>
    <n v="246"/>
    <d v="2024-09-08T00:00:00"/>
    <x v="0"/>
    <x v="8"/>
    <x v="0"/>
    <x v="4"/>
    <x v="3"/>
    <n v="2265"/>
    <n v="2707.73"/>
    <n v="0.04"/>
    <n v="108.3092"/>
  </r>
  <r>
    <n v="247"/>
    <d v="2024-09-09T00:00:00"/>
    <x v="0"/>
    <x v="8"/>
    <x v="0"/>
    <x v="4"/>
    <x v="3"/>
    <n v="4973"/>
    <n v="4418.8"/>
    <n v="0.04"/>
    <n v="176.75200000000001"/>
  </r>
  <r>
    <n v="248"/>
    <d v="2024-09-10T00:00:00"/>
    <x v="0"/>
    <x v="8"/>
    <x v="1"/>
    <x v="3"/>
    <x v="2"/>
    <n v="2920"/>
    <n v="2770.19"/>
    <n v="0.05"/>
    <n v="138.5095"/>
  </r>
  <r>
    <n v="249"/>
    <d v="2024-09-11T00:00:00"/>
    <x v="0"/>
    <x v="8"/>
    <x v="1"/>
    <x v="0"/>
    <x v="1"/>
    <n v="2339"/>
    <n v="1725.12"/>
    <n v="0.05"/>
    <n v="86.256"/>
  </r>
  <r>
    <n v="250"/>
    <d v="2024-09-12T00:00:00"/>
    <x v="0"/>
    <x v="8"/>
    <x v="0"/>
    <x v="4"/>
    <x v="0"/>
    <n v="2388"/>
    <n v="2085.33"/>
    <n v="0.04"/>
    <n v="83.413200000000003"/>
  </r>
  <r>
    <n v="251"/>
    <d v="2024-09-13T00:00:00"/>
    <x v="0"/>
    <x v="8"/>
    <x v="2"/>
    <x v="4"/>
    <x v="0"/>
    <n v="4624"/>
    <n v="3362.89"/>
    <n v="7.0000000000000007E-2"/>
    <n v="235.4023"/>
  </r>
  <r>
    <n v="252"/>
    <d v="2024-09-14T00:00:00"/>
    <x v="0"/>
    <x v="8"/>
    <x v="1"/>
    <x v="0"/>
    <x v="2"/>
    <n v="4050"/>
    <n v="2321.44"/>
    <n v="0.05"/>
    <n v="116.072"/>
  </r>
  <r>
    <n v="253"/>
    <d v="2024-09-15T00:00:00"/>
    <x v="0"/>
    <x v="8"/>
    <x v="0"/>
    <x v="0"/>
    <x v="3"/>
    <n v="3165"/>
    <n v="3492.41"/>
    <n v="0.04"/>
    <n v="139.69640000000001"/>
  </r>
  <r>
    <n v="254"/>
    <d v="2024-09-16T00:00:00"/>
    <x v="0"/>
    <x v="8"/>
    <x v="1"/>
    <x v="4"/>
    <x v="1"/>
    <n v="2375"/>
    <n v="2774.51"/>
    <n v="0.05"/>
    <n v="138.72550000000001"/>
  </r>
  <r>
    <n v="255"/>
    <d v="2024-09-17T00:00:00"/>
    <x v="0"/>
    <x v="8"/>
    <x v="1"/>
    <x v="0"/>
    <x v="3"/>
    <n v="4033"/>
    <n v="4514.8999999999996"/>
    <n v="0.05"/>
    <n v="225.745"/>
  </r>
  <r>
    <n v="256"/>
    <d v="2024-09-18T00:00:00"/>
    <x v="0"/>
    <x v="8"/>
    <x v="2"/>
    <x v="4"/>
    <x v="3"/>
    <n v="4371"/>
    <n v="4211.43"/>
    <n v="7.0000000000000007E-2"/>
    <n v="294.80009999999999"/>
  </r>
  <r>
    <n v="257"/>
    <d v="2024-09-19T00:00:00"/>
    <x v="0"/>
    <x v="8"/>
    <x v="0"/>
    <x v="4"/>
    <x v="3"/>
    <n v="2145"/>
    <n v="1887.14"/>
    <n v="0.04"/>
    <n v="75.485600000000005"/>
  </r>
  <r>
    <n v="258"/>
    <d v="2024-09-20T00:00:00"/>
    <x v="0"/>
    <x v="8"/>
    <x v="0"/>
    <x v="3"/>
    <x v="3"/>
    <n v="3981"/>
    <n v="5427.43"/>
    <n v="0.04"/>
    <n v="217.09719999999999"/>
  </r>
  <r>
    <n v="259"/>
    <d v="2024-09-21T00:00:00"/>
    <x v="0"/>
    <x v="8"/>
    <x v="2"/>
    <x v="2"/>
    <x v="0"/>
    <n v="2292"/>
    <n v="2335.7399999999998"/>
    <n v="7.0000000000000007E-2"/>
    <n v="163.5018"/>
  </r>
  <r>
    <n v="260"/>
    <d v="2024-09-22T00:00:00"/>
    <x v="0"/>
    <x v="8"/>
    <x v="2"/>
    <x v="4"/>
    <x v="0"/>
    <n v="2431"/>
    <n v="2380.39"/>
    <n v="7.0000000000000007E-2"/>
    <n v="166.62729999999999"/>
  </r>
  <r>
    <n v="261"/>
    <d v="2024-09-24T00:00:00"/>
    <x v="0"/>
    <x v="8"/>
    <x v="0"/>
    <x v="6"/>
    <x v="1"/>
    <n v="4996"/>
    <n v="4202.87"/>
    <n v="0.04"/>
    <n v="168.1148"/>
  </r>
  <r>
    <n v="262"/>
    <d v="2024-09-25T00:00:00"/>
    <x v="0"/>
    <x v="8"/>
    <x v="2"/>
    <x v="5"/>
    <x v="2"/>
    <n v="3998"/>
    <n v="3519.02"/>
    <n v="7.0000000000000007E-2"/>
    <n v="246.3314"/>
  </r>
  <r>
    <n v="263"/>
    <d v="2024-09-26T00:00:00"/>
    <x v="0"/>
    <x v="8"/>
    <x v="1"/>
    <x v="2"/>
    <x v="1"/>
    <n v="4632"/>
    <n v="4163.3500000000004"/>
    <n v="0.05"/>
    <n v="208.16749999999999"/>
  </r>
  <r>
    <n v="264"/>
    <d v="2024-09-27T00:00:00"/>
    <x v="0"/>
    <x v="8"/>
    <x v="1"/>
    <x v="2"/>
    <x v="1"/>
    <n v="2398"/>
    <n v="2590.25"/>
    <n v="0.05"/>
    <n v="129.51249999999999"/>
  </r>
  <r>
    <n v="265"/>
    <d v="2024-09-28T00:00:00"/>
    <x v="0"/>
    <x v="8"/>
    <x v="2"/>
    <x v="2"/>
    <x v="1"/>
    <n v="4864"/>
    <n v="5027.4399999999996"/>
    <n v="7.0000000000000007E-2"/>
    <n v="351.92079999999999"/>
  </r>
  <r>
    <n v="266"/>
    <d v="2024-09-29T00:00:00"/>
    <x v="0"/>
    <x v="8"/>
    <x v="1"/>
    <x v="3"/>
    <x v="3"/>
    <n v="2963"/>
    <n v="3282.72"/>
    <n v="0.05"/>
    <n v="164.136"/>
  </r>
  <r>
    <n v="267"/>
    <d v="2024-09-30T00:00:00"/>
    <x v="0"/>
    <x v="8"/>
    <x v="2"/>
    <x v="4"/>
    <x v="0"/>
    <n v="4234"/>
    <n v="5355.52"/>
    <n v="7.0000000000000007E-2"/>
    <n v="374.88639999999998"/>
  </r>
  <r>
    <n v="268"/>
    <d v="2024-10-01T00:00:00"/>
    <x v="0"/>
    <x v="9"/>
    <x v="1"/>
    <x v="3"/>
    <x v="1"/>
    <n v="4041"/>
    <n v="5305.78"/>
    <n v="0.05"/>
    <n v="265.28899999999999"/>
  </r>
  <r>
    <n v="269"/>
    <d v="2024-10-02T00:00:00"/>
    <x v="0"/>
    <x v="9"/>
    <x v="1"/>
    <x v="4"/>
    <x v="3"/>
    <n v="3828"/>
    <n v="4662.9799999999996"/>
    <n v="0.05"/>
    <n v="233.149"/>
  </r>
  <r>
    <n v="270"/>
    <d v="2024-10-03T00:00:00"/>
    <x v="0"/>
    <x v="9"/>
    <x v="0"/>
    <x v="3"/>
    <x v="1"/>
    <n v="4108"/>
    <n v="5979.29"/>
    <n v="0.04"/>
    <n v="239.17160000000001"/>
  </r>
  <r>
    <n v="271"/>
    <d v="2024-10-04T00:00:00"/>
    <x v="0"/>
    <x v="9"/>
    <x v="0"/>
    <x v="3"/>
    <x v="1"/>
    <n v="2938"/>
    <n v="1522.57"/>
    <n v="0.04"/>
    <n v="60.902799999999999"/>
  </r>
  <r>
    <n v="272"/>
    <d v="2024-10-05T00:00:00"/>
    <x v="0"/>
    <x v="9"/>
    <x v="1"/>
    <x v="6"/>
    <x v="3"/>
    <n v="2709"/>
    <n v="1884.86"/>
    <n v="0.05"/>
    <n v="94.242999999999995"/>
  </r>
  <r>
    <n v="273"/>
    <d v="2024-10-06T00:00:00"/>
    <x v="0"/>
    <x v="9"/>
    <x v="1"/>
    <x v="1"/>
    <x v="0"/>
    <n v="2806"/>
    <n v="1424.22"/>
    <n v="0.05"/>
    <n v="71.210999999999999"/>
  </r>
  <r>
    <n v="274"/>
    <d v="2024-10-07T00:00:00"/>
    <x v="0"/>
    <x v="9"/>
    <x v="0"/>
    <x v="3"/>
    <x v="0"/>
    <n v="3463"/>
    <n v="3973.7"/>
    <n v="0.04"/>
    <n v="158.94800000000001"/>
  </r>
  <r>
    <n v="275"/>
    <d v="2024-10-08T00:00:00"/>
    <x v="0"/>
    <x v="9"/>
    <x v="0"/>
    <x v="6"/>
    <x v="2"/>
    <n v="3325"/>
    <n v="4648.45"/>
    <n v="0.04"/>
    <n v="185.93799999999999"/>
  </r>
  <r>
    <n v="276"/>
    <d v="2024-10-09T00:00:00"/>
    <x v="0"/>
    <x v="9"/>
    <x v="0"/>
    <x v="0"/>
    <x v="3"/>
    <n v="2010"/>
    <n v="1494.4"/>
    <n v="0.04"/>
    <n v="59.776000000000003"/>
  </r>
  <r>
    <n v="277"/>
    <d v="2024-10-10T00:00:00"/>
    <x v="0"/>
    <x v="9"/>
    <x v="2"/>
    <x v="1"/>
    <x v="2"/>
    <n v="3085"/>
    <n v="4402.3999999999996"/>
    <n v="7.0000000000000007E-2"/>
    <n v="308.16800000000001"/>
  </r>
  <r>
    <n v="278"/>
    <d v="2024-10-11T00:00:00"/>
    <x v="0"/>
    <x v="9"/>
    <x v="1"/>
    <x v="3"/>
    <x v="2"/>
    <n v="3868"/>
    <n v="2167.11"/>
    <n v="0.05"/>
    <n v="108.35550000000001"/>
  </r>
  <r>
    <n v="279"/>
    <d v="2024-10-12T00:00:00"/>
    <x v="0"/>
    <x v="9"/>
    <x v="0"/>
    <x v="5"/>
    <x v="2"/>
    <n v="4273"/>
    <n v="6129.35"/>
    <n v="0.04"/>
    <n v="245.17400000000001"/>
  </r>
  <r>
    <n v="280"/>
    <d v="2024-10-13T00:00:00"/>
    <x v="0"/>
    <x v="9"/>
    <x v="1"/>
    <x v="2"/>
    <x v="0"/>
    <n v="4611"/>
    <n v="3926.83"/>
    <n v="0.05"/>
    <n v="196.3415"/>
  </r>
  <r>
    <n v="281"/>
    <d v="2024-10-14T00:00:00"/>
    <x v="0"/>
    <x v="9"/>
    <x v="2"/>
    <x v="0"/>
    <x v="3"/>
    <n v="2771"/>
    <n v="1666.54"/>
    <n v="7.0000000000000007E-2"/>
    <n v="116.65779999999999"/>
  </r>
  <r>
    <n v="282"/>
    <d v="2024-10-15T00:00:00"/>
    <x v="0"/>
    <x v="9"/>
    <x v="2"/>
    <x v="0"/>
    <x v="2"/>
    <n v="3594"/>
    <n v="3543.22"/>
    <n v="7.0000000000000007E-2"/>
    <n v="248.02539999999999"/>
  </r>
  <r>
    <n v="283"/>
    <d v="2024-10-16T00:00:00"/>
    <x v="0"/>
    <x v="9"/>
    <x v="0"/>
    <x v="6"/>
    <x v="3"/>
    <n v="3607"/>
    <n v="2729.69"/>
    <n v="0.04"/>
    <n v="109.1876"/>
  </r>
  <r>
    <n v="284"/>
    <d v="2024-10-17T00:00:00"/>
    <x v="0"/>
    <x v="9"/>
    <x v="2"/>
    <x v="0"/>
    <x v="3"/>
    <n v="3333"/>
    <n v="2615.98"/>
    <n v="7.0000000000000007E-2"/>
    <n v="183.11859999999999"/>
  </r>
  <r>
    <n v="285"/>
    <d v="2024-10-18T00:00:00"/>
    <x v="0"/>
    <x v="9"/>
    <x v="1"/>
    <x v="1"/>
    <x v="0"/>
    <n v="2884"/>
    <n v="2328.2199999999998"/>
    <n v="0.05"/>
    <n v="116.411"/>
  </r>
  <r>
    <n v="286"/>
    <d v="2024-10-19T00:00:00"/>
    <x v="0"/>
    <x v="9"/>
    <x v="0"/>
    <x v="3"/>
    <x v="2"/>
    <n v="3389"/>
    <n v="4415.95"/>
    <n v="0.04"/>
    <n v="176.63800000000001"/>
  </r>
  <r>
    <n v="287"/>
    <d v="2024-10-20T00:00:00"/>
    <x v="0"/>
    <x v="9"/>
    <x v="1"/>
    <x v="3"/>
    <x v="2"/>
    <n v="2225"/>
    <n v="2312.13"/>
    <n v="0.05"/>
    <n v="115.6065"/>
  </r>
  <r>
    <n v="288"/>
    <d v="2024-10-21T00:00:00"/>
    <x v="0"/>
    <x v="9"/>
    <x v="1"/>
    <x v="5"/>
    <x v="3"/>
    <n v="2824"/>
    <n v="2291.13"/>
    <n v="0.05"/>
    <n v="114.5565"/>
  </r>
  <r>
    <n v="289"/>
    <d v="2024-10-23T00:00:00"/>
    <x v="0"/>
    <x v="9"/>
    <x v="2"/>
    <x v="6"/>
    <x v="0"/>
    <n v="2936"/>
    <n v="3570.62"/>
    <n v="7.0000000000000007E-2"/>
    <n v="249.9434"/>
  </r>
  <r>
    <n v="290"/>
    <d v="2024-10-24T00:00:00"/>
    <x v="0"/>
    <x v="9"/>
    <x v="2"/>
    <x v="2"/>
    <x v="0"/>
    <n v="4800"/>
    <n v="3708.6"/>
    <n v="7.0000000000000007E-2"/>
    <n v="259.60199999999998"/>
  </r>
  <r>
    <n v="291"/>
    <d v="2024-10-25T00:00:00"/>
    <x v="0"/>
    <x v="9"/>
    <x v="2"/>
    <x v="0"/>
    <x v="0"/>
    <n v="4553"/>
    <n v="4159.3900000000003"/>
    <n v="7.0000000000000007E-2"/>
    <n v="291.15730000000002"/>
  </r>
  <r>
    <n v="292"/>
    <d v="2024-10-26T00:00:00"/>
    <x v="0"/>
    <x v="9"/>
    <x v="2"/>
    <x v="5"/>
    <x v="0"/>
    <n v="4306"/>
    <n v="2677.84"/>
    <n v="7.0000000000000007E-2"/>
    <n v="187.44880000000001"/>
  </r>
  <r>
    <n v="293"/>
    <d v="2024-10-27T00:00:00"/>
    <x v="0"/>
    <x v="9"/>
    <x v="0"/>
    <x v="2"/>
    <x v="2"/>
    <n v="3911"/>
    <n v="2663.98"/>
    <n v="0.04"/>
    <n v="106.5592"/>
  </r>
  <r>
    <n v="294"/>
    <d v="2024-10-28T00:00:00"/>
    <x v="0"/>
    <x v="9"/>
    <x v="1"/>
    <x v="1"/>
    <x v="2"/>
    <n v="3796"/>
    <n v="4483.5200000000004"/>
    <n v="0.05"/>
    <n v="224.17599999999999"/>
  </r>
  <r>
    <n v="295"/>
    <d v="2024-10-29T00:00:00"/>
    <x v="0"/>
    <x v="9"/>
    <x v="1"/>
    <x v="3"/>
    <x v="1"/>
    <n v="2053"/>
    <n v="1398.99"/>
    <n v="0.05"/>
    <n v="69.9495"/>
  </r>
  <r>
    <n v="296"/>
    <d v="2024-10-30T00:00:00"/>
    <x v="0"/>
    <x v="9"/>
    <x v="1"/>
    <x v="0"/>
    <x v="0"/>
    <n v="2726"/>
    <n v="2794.6"/>
    <n v="0.05"/>
    <n v="139.72999999999999"/>
  </r>
  <r>
    <n v="297"/>
    <d v="2024-11-01T00:00:00"/>
    <x v="0"/>
    <x v="10"/>
    <x v="2"/>
    <x v="2"/>
    <x v="3"/>
    <n v="3544"/>
    <n v="2150.77"/>
    <n v="7.0000000000000007E-2"/>
    <n v="150.5539"/>
  </r>
  <r>
    <n v="298"/>
    <d v="2024-11-02T00:00:00"/>
    <x v="0"/>
    <x v="10"/>
    <x v="1"/>
    <x v="6"/>
    <x v="2"/>
    <n v="3043"/>
    <n v="3247.83"/>
    <n v="0.05"/>
    <n v="162.39150000000001"/>
  </r>
  <r>
    <n v="299"/>
    <d v="2024-11-03T00:00:00"/>
    <x v="0"/>
    <x v="10"/>
    <x v="0"/>
    <x v="1"/>
    <x v="0"/>
    <n v="3913"/>
    <n v="2960.43"/>
    <n v="0.04"/>
    <n v="118.41719999999999"/>
  </r>
  <r>
    <n v="300"/>
    <d v="2024-11-04T00:00:00"/>
    <x v="0"/>
    <x v="10"/>
    <x v="0"/>
    <x v="1"/>
    <x v="1"/>
    <n v="3776"/>
    <n v="5524.01"/>
    <n v="0.04"/>
    <n v="220.96039999999999"/>
  </r>
  <r>
    <n v="301"/>
    <d v="2024-11-05T00:00:00"/>
    <x v="0"/>
    <x v="10"/>
    <x v="1"/>
    <x v="2"/>
    <x v="1"/>
    <n v="3596"/>
    <n v="3536.83"/>
    <n v="0.05"/>
    <n v="176.8415"/>
  </r>
  <r>
    <n v="302"/>
    <d v="2024-11-06T00:00:00"/>
    <x v="0"/>
    <x v="10"/>
    <x v="1"/>
    <x v="3"/>
    <x v="2"/>
    <n v="3914"/>
    <n v="5111.6499999999996"/>
    <n v="0.05"/>
    <n v="255.58250000000001"/>
  </r>
  <r>
    <n v="303"/>
    <d v="2024-11-07T00:00:00"/>
    <x v="0"/>
    <x v="10"/>
    <x v="0"/>
    <x v="2"/>
    <x v="1"/>
    <n v="4466"/>
    <n v="4690.3100000000004"/>
    <n v="0.04"/>
    <n v="187.61240000000001"/>
  </r>
  <r>
    <n v="304"/>
    <d v="2024-11-08T00:00:00"/>
    <x v="0"/>
    <x v="10"/>
    <x v="0"/>
    <x v="0"/>
    <x v="1"/>
    <n v="4737"/>
    <n v="2574.15"/>
    <n v="0.04"/>
    <n v="102.96599999999999"/>
  </r>
  <r>
    <n v="305"/>
    <d v="2024-11-09T00:00:00"/>
    <x v="0"/>
    <x v="10"/>
    <x v="2"/>
    <x v="2"/>
    <x v="2"/>
    <n v="2849"/>
    <n v="3228.35"/>
    <n v="7.0000000000000007E-2"/>
    <n v="225.9845"/>
  </r>
  <r>
    <n v="306"/>
    <d v="2024-11-10T00:00:00"/>
    <x v="0"/>
    <x v="10"/>
    <x v="0"/>
    <x v="1"/>
    <x v="0"/>
    <n v="4109"/>
    <n v="5963.82"/>
    <n v="0.04"/>
    <n v="238.55279999999999"/>
  </r>
  <r>
    <n v="307"/>
    <d v="2024-11-11T00:00:00"/>
    <x v="0"/>
    <x v="10"/>
    <x v="2"/>
    <x v="5"/>
    <x v="0"/>
    <n v="4263"/>
    <n v="4696.17"/>
    <n v="7.0000000000000007E-2"/>
    <n v="328.7319"/>
  </r>
  <r>
    <n v="308"/>
    <d v="2024-11-12T00:00:00"/>
    <x v="0"/>
    <x v="10"/>
    <x v="2"/>
    <x v="2"/>
    <x v="1"/>
    <n v="2002"/>
    <n v="2641.02"/>
    <n v="7.0000000000000007E-2"/>
    <n v="184.87139999999999"/>
  </r>
  <r>
    <n v="309"/>
    <d v="2024-11-13T00:00:00"/>
    <x v="0"/>
    <x v="10"/>
    <x v="2"/>
    <x v="3"/>
    <x v="1"/>
    <n v="2159"/>
    <n v="2988.5"/>
    <n v="7.0000000000000007E-2"/>
    <n v="209.19499999999999"/>
  </r>
  <r>
    <n v="310"/>
    <d v="2024-11-14T00:00:00"/>
    <x v="0"/>
    <x v="10"/>
    <x v="2"/>
    <x v="5"/>
    <x v="0"/>
    <n v="2780"/>
    <n v="2024.06"/>
    <n v="7.0000000000000007E-2"/>
    <n v="141.6842"/>
  </r>
  <r>
    <n v="311"/>
    <d v="2024-11-15T00:00:00"/>
    <x v="0"/>
    <x v="10"/>
    <x v="2"/>
    <x v="6"/>
    <x v="2"/>
    <n v="2892"/>
    <n v="2059.23"/>
    <n v="7.0000000000000007E-2"/>
    <n v="144.14609999999999"/>
  </r>
  <r>
    <n v="312"/>
    <d v="2024-11-16T00:00:00"/>
    <x v="0"/>
    <x v="10"/>
    <x v="1"/>
    <x v="4"/>
    <x v="1"/>
    <n v="4030"/>
    <n v="4477.25"/>
    <n v="0.05"/>
    <n v="223.86250000000001"/>
  </r>
  <r>
    <n v="313"/>
    <d v="2024-11-18T00:00:00"/>
    <x v="0"/>
    <x v="10"/>
    <x v="2"/>
    <x v="3"/>
    <x v="2"/>
    <n v="2579"/>
    <n v="3455.5"/>
    <n v="7.0000000000000007E-2"/>
    <n v="241.88499999999999"/>
  </r>
  <r>
    <n v="314"/>
    <d v="2024-11-19T00:00:00"/>
    <x v="0"/>
    <x v="10"/>
    <x v="0"/>
    <x v="5"/>
    <x v="1"/>
    <n v="3933"/>
    <n v="5506.29"/>
    <n v="0.04"/>
    <n v="220.2516"/>
  </r>
  <r>
    <n v="315"/>
    <d v="2024-11-20T00:00:00"/>
    <x v="0"/>
    <x v="10"/>
    <x v="0"/>
    <x v="3"/>
    <x v="1"/>
    <n v="3380"/>
    <n v="2884.56"/>
    <n v="0.04"/>
    <n v="115.3824"/>
  </r>
  <r>
    <n v="316"/>
    <d v="2024-11-21T00:00:00"/>
    <x v="0"/>
    <x v="10"/>
    <x v="2"/>
    <x v="6"/>
    <x v="3"/>
    <n v="3290"/>
    <n v="2424.3000000000002"/>
    <n v="7.0000000000000007E-2"/>
    <n v="169.70099999999999"/>
  </r>
  <r>
    <n v="317"/>
    <d v="2024-11-22T00:00:00"/>
    <x v="0"/>
    <x v="10"/>
    <x v="1"/>
    <x v="1"/>
    <x v="3"/>
    <n v="3640"/>
    <n v="4661.1099999999997"/>
    <n v="0.05"/>
    <n v="233.05549999999999"/>
  </r>
  <r>
    <n v="318"/>
    <d v="2024-11-23T00:00:00"/>
    <x v="0"/>
    <x v="10"/>
    <x v="2"/>
    <x v="3"/>
    <x v="0"/>
    <n v="2951"/>
    <n v="2286.4499999999998"/>
    <n v="7.0000000000000007E-2"/>
    <n v="160.0515"/>
  </r>
  <r>
    <n v="319"/>
    <d v="2024-11-24T00:00:00"/>
    <x v="0"/>
    <x v="10"/>
    <x v="1"/>
    <x v="5"/>
    <x v="2"/>
    <n v="4682"/>
    <n v="6192.48"/>
    <n v="0.05"/>
    <n v="309.62400000000002"/>
  </r>
  <r>
    <n v="320"/>
    <d v="2024-11-25T00:00:00"/>
    <x v="0"/>
    <x v="10"/>
    <x v="0"/>
    <x v="3"/>
    <x v="2"/>
    <n v="2987"/>
    <n v="2759.21"/>
    <n v="0.04"/>
    <n v="110.36839999999999"/>
  </r>
  <r>
    <n v="321"/>
    <d v="2024-11-26T00:00:00"/>
    <x v="0"/>
    <x v="10"/>
    <x v="1"/>
    <x v="3"/>
    <x v="0"/>
    <n v="3218"/>
    <n v="3757.18"/>
    <n v="0.05"/>
    <n v="187.85900000000001"/>
  </r>
  <r>
    <n v="322"/>
    <d v="2024-11-28T00:00:00"/>
    <x v="0"/>
    <x v="10"/>
    <x v="1"/>
    <x v="0"/>
    <x v="2"/>
    <n v="4785"/>
    <n v="5377.67"/>
    <n v="0.05"/>
    <n v="268.88350000000003"/>
  </r>
  <r>
    <n v="323"/>
    <d v="2024-11-29T00:00:00"/>
    <x v="0"/>
    <x v="10"/>
    <x v="0"/>
    <x v="0"/>
    <x v="2"/>
    <n v="3355"/>
    <n v="3193.18"/>
    <n v="0.04"/>
    <n v="127.7272"/>
  </r>
  <r>
    <n v="324"/>
    <d v="2024-11-30T00:00:00"/>
    <x v="0"/>
    <x v="10"/>
    <x v="0"/>
    <x v="1"/>
    <x v="2"/>
    <n v="2169"/>
    <n v="2356.85"/>
    <n v="0.04"/>
    <n v="94.274000000000001"/>
  </r>
  <r>
    <n v="325"/>
    <d v="2024-12-01T00:00:00"/>
    <x v="0"/>
    <x v="11"/>
    <x v="1"/>
    <x v="2"/>
    <x v="2"/>
    <n v="2520"/>
    <n v="1683.4"/>
    <n v="0.05"/>
    <n v="84.17"/>
  </r>
  <r>
    <n v="326"/>
    <d v="2024-12-02T00:00:00"/>
    <x v="0"/>
    <x v="11"/>
    <x v="1"/>
    <x v="3"/>
    <x v="3"/>
    <n v="3486"/>
    <n v="4311.74"/>
    <n v="0.05"/>
    <n v="215.58699999999999"/>
  </r>
  <r>
    <n v="327"/>
    <d v="2024-12-03T00:00:00"/>
    <x v="0"/>
    <x v="11"/>
    <x v="2"/>
    <x v="6"/>
    <x v="2"/>
    <n v="2039"/>
    <n v="2778.74"/>
    <n v="7.0000000000000007E-2"/>
    <n v="194.51179999999999"/>
  </r>
  <r>
    <n v="328"/>
    <d v="2024-12-04T00:00:00"/>
    <x v="0"/>
    <x v="11"/>
    <x v="1"/>
    <x v="2"/>
    <x v="3"/>
    <n v="3560"/>
    <n v="2551.59"/>
    <n v="0.05"/>
    <n v="127.5795"/>
  </r>
  <r>
    <n v="329"/>
    <d v="2024-12-05T00:00:00"/>
    <x v="0"/>
    <x v="11"/>
    <x v="2"/>
    <x v="6"/>
    <x v="2"/>
    <n v="3418"/>
    <n v="2036.15"/>
    <n v="7.0000000000000007E-2"/>
    <n v="142.53049999999999"/>
  </r>
  <r>
    <n v="330"/>
    <d v="2024-12-06T00:00:00"/>
    <x v="0"/>
    <x v="11"/>
    <x v="1"/>
    <x v="2"/>
    <x v="0"/>
    <n v="2954"/>
    <n v="1546.83"/>
    <n v="0.05"/>
    <n v="77.341499999999996"/>
  </r>
  <r>
    <n v="331"/>
    <d v="2024-12-07T00:00:00"/>
    <x v="0"/>
    <x v="11"/>
    <x v="2"/>
    <x v="1"/>
    <x v="1"/>
    <n v="2983"/>
    <n v="3406.5"/>
    <n v="7.0000000000000007E-2"/>
    <n v="238.45500000000001"/>
  </r>
  <r>
    <n v="332"/>
    <d v="2024-12-08T00:00:00"/>
    <x v="0"/>
    <x v="11"/>
    <x v="0"/>
    <x v="3"/>
    <x v="3"/>
    <n v="2974"/>
    <n v="3292.5"/>
    <n v="0.04"/>
    <n v="131.69999999999999"/>
  </r>
  <r>
    <n v="333"/>
    <d v="2024-12-09T00:00:00"/>
    <x v="0"/>
    <x v="11"/>
    <x v="1"/>
    <x v="3"/>
    <x v="2"/>
    <n v="2037"/>
    <n v="2132.12"/>
    <n v="0.05"/>
    <n v="106.60599999999999"/>
  </r>
  <r>
    <n v="334"/>
    <d v="2024-12-11T00:00:00"/>
    <x v="0"/>
    <x v="11"/>
    <x v="1"/>
    <x v="6"/>
    <x v="1"/>
    <n v="3274"/>
    <n v="2916.83"/>
    <n v="0.05"/>
    <n v="145.8415"/>
  </r>
  <r>
    <n v="335"/>
    <d v="2024-12-12T00:00:00"/>
    <x v="0"/>
    <x v="11"/>
    <x v="1"/>
    <x v="2"/>
    <x v="3"/>
    <n v="3199"/>
    <n v="3501.23"/>
    <n v="0.05"/>
    <n v="175.0615"/>
  </r>
  <r>
    <n v="336"/>
    <d v="2024-12-13T00:00:00"/>
    <x v="0"/>
    <x v="11"/>
    <x v="2"/>
    <x v="2"/>
    <x v="1"/>
    <n v="3625"/>
    <n v="3613.28"/>
    <n v="7.0000000000000007E-2"/>
    <n v="252.92959999999999"/>
  </r>
  <r>
    <n v="337"/>
    <d v="2024-12-14T00:00:00"/>
    <x v="0"/>
    <x v="11"/>
    <x v="1"/>
    <x v="0"/>
    <x v="0"/>
    <n v="2913"/>
    <n v="4333.92"/>
    <n v="0.05"/>
    <n v="216.696"/>
  </r>
  <r>
    <n v="338"/>
    <d v="2024-12-15T00:00:00"/>
    <x v="0"/>
    <x v="11"/>
    <x v="0"/>
    <x v="4"/>
    <x v="3"/>
    <n v="2453"/>
    <n v="1561.19"/>
    <n v="0.04"/>
    <n v="62.447600000000001"/>
  </r>
  <r>
    <n v="339"/>
    <d v="2024-12-16T00:00:00"/>
    <x v="0"/>
    <x v="11"/>
    <x v="0"/>
    <x v="5"/>
    <x v="1"/>
    <n v="2036"/>
    <n v="2433.31"/>
    <n v="0.04"/>
    <n v="97.332400000000007"/>
  </r>
  <r>
    <n v="340"/>
    <d v="2024-12-17T00:00:00"/>
    <x v="0"/>
    <x v="11"/>
    <x v="1"/>
    <x v="5"/>
    <x v="2"/>
    <n v="3711"/>
    <n v="3355.93"/>
    <n v="0.05"/>
    <n v="167.79650000000001"/>
  </r>
  <r>
    <n v="341"/>
    <d v="2024-12-18T00:00:00"/>
    <x v="0"/>
    <x v="11"/>
    <x v="0"/>
    <x v="0"/>
    <x v="3"/>
    <n v="2795"/>
    <n v="2594.3200000000002"/>
    <n v="0.04"/>
    <n v="103.7728"/>
  </r>
  <r>
    <n v="342"/>
    <d v="2024-12-19T00:00:00"/>
    <x v="0"/>
    <x v="11"/>
    <x v="1"/>
    <x v="0"/>
    <x v="1"/>
    <n v="2972"/>
    <n v="3618.7"/>
    <n v="0.05"/>
    <n v="180.935"/>
  </r>
  <r>
    <n v="343"/>
    <d v="2024-12-20T00:00:00"/>
    <x v="0"/>
    <x v="11"/>
    <x v="1"/>
    <x v="0"/>
    <x v="0"/>
    <n v="2592"/>
    <n v="3090.79"/>
    <n v="0.05"/>
    <n v="154.5395"/>
  </r>
  <r>
    <n v="344"/>
    <d v="2024-12-21T00:00:00"/>
    <x v="0"/>
    <x v="11"/>
    <x v="0"/>
    <x v="6"/>
    <x v="0"/>
    <n v="3137"/>
    <n v="4678.07"/>
    <n v="0.04"/>
    <n v="187.12280000000001"/>
  </r>
  <r>
    <n v="345"/>
    <d v="2024-12-22T00:00:00"/>
    <x v="0"/>
    <x v="11"/>
    <x v="1"/>
    <x v="6"/>
    <x v="3"/>
    <n v="3324"/>
    <n v="2088.7800000000002"/>
    <n v="0.05"/>
    <n v="104.43899999999999"/>
  </r>
  <r>
    <n v="346"/>
    <d v="2024-12-23T00:00:00"/>
    <x v="0"/>
    <x v="11"/>
    <x v="0"/>
    <x v="1"/>
    <x v="1"/>
    <n v="4271"/>
    <n v="2580.15"/>
    <n v="0.04"/>
    <n v="103.206"/>
  </r>
  <r>
    <n v="347"/>
    <d v="2024-12-24T00:00:00"/>
    <x v="0"/>
    <x v="11"/>
    <x v="2"/>
    <x v="1"/>
    <x v="3"/>
    <n v="2317"/>
    <n v="2836.79"/>
    <n v="7.0000000000000007E-2"/>
    <n v="198.5753"/>
  </r>
  <r>
    <n v="348"/>
    <d v="2024-12-25T00:00:00"/>
    <x v="0"/>
    <x v="11"/>
    <x v="1"/>
    <x v="0"/>
    <x v="3"/>
    <n v="4396"/>
    <n v="4740.59"/>
    <n v="0.05"/>
    <n v="237.02950000000001"/>
  </r>
  <r>
    <n v="349"/>
    <d v="2024-12-26T00:00:00"/>
    <x v="0"/>
    <x v="11"/>
    <x v="2"/>
    <x v="4"/>
    <x v="1"/>
    <n v="4162"/>
    <n v="3222.06"/>
    <n v="7.0000000000000007E-2"/>
    <n v="225.54419999999999"/>
  </r>
  <r>
    <n v="350"/>
    <d v="2024-12-27T00:00:00"/>
    <x v="0"/>
    <x v="11"/>
    <x v="0"/>
    <x v="2"/>
    <x v="1"/>
    <n v="4745"/>
    <n v="2749.34"/>
    <n v="0.04"/>
    <n v="109.9736"/>
  </r>
  <r>
    <n v="351"/>
    <d v="2024-12-28T00:00:00"/>
    <x v="0"/>
    <x v="11"/>
    <x v="2"/>
    <x v="6"/>
    <x v="2"/>
    <n v="3346"/>
    <n v="1959.61"/>
    <n v="7.0000000000000007E-2"/>
    <n v="137.17269999999999"/>
  </r>
  <r>
    <n v="352"/>
    <d v="2024-12-29T00:00:00"/>
    <x v="0"/>
    <x v="11"/>
    <x v="2"/>
    <x v="4"/>
    <x v="1"/>
    <n v="3591"/>
    <n v="5006.54"/>
    <n v="7.0000000000000007E-2"/>
    <n v="350.45780000000002"/>
  </r>
  <r>
    <n v="353"/>
    <d v="2024-12-30T00:00:00"/>
    <x v="0"/>
    <x v="11"/>
    <x v="0"/>
    <x v="3"/>
    <x v="0"/>
    <n v="3889"/>
    <n v="2690.67"/>
    <n v="0.04"/>
    <n v="107.6268"/>
  </r>
  <r>
    <n v="354"/>
    <d v="2024-12-31T00:00:00"/>
    <x v="0"/>
    <x v="11"/>
    <x v="2"/>
    <x v="6"/>
    <x v="3"/>
    <n v="4087"/>
    <n v="3365.12"/>
    <n v="7.0000000000000007E-2"/>
    <n v="235.55840000000001"/>
  </r>
  <r>
    <n v="355"/>
    <d v="2025-01-01T00:00:00"/>
    <x v="1"/>
    <x v="0"/>
    <x v="2"/>
    <x v="6"/>
    <x v="3"/>
    <n v="3996"/>
    <n v="2903.72"/>
    <n v="7.0000000000000007E-2"/>
    <n v="203.2604"/>
  </r>
  <r>
    <n v="356"/>
    <d v="2025-01-02T00:00:00"/>
    <x v="1"/>
    <x v="0"/>
    <x v="0"/>
    <x v="1"/>
    <x v="0"/>
    <n v="3772"/>
    <n v="3225.05"/>
    <n v="0.04"/>
    <n v="129.00200000000001"/>
  </r>
  <r>
    <n v="357"/>
    <d v="2025-01-03T00:00:00"/>
    <x v="1"/>
    <x v="0"/>
    <x v="2"/>
    <x v="2"/>
    <x v="1"/>
    <n v="3312"/>
    <n v="1885.93"/>
    <n v="7.0000000000000007E-2"/>
    <n v="132.01509999999999"/>
  </r>
  <r>
    <n v="358"/>
    <d v="2025-01-04T00:00:00"/>
    <x v="1"/>
    <x v="0"/>
    <x v="0"/>
    <x v="2"/>
    <x v="0"/>
    <n v="3285"/>
    <n v="3347.61"/>
    <n v="0.04"/>
    <n v="133.90440000000001"/>
  </r>
  <r>
    <n v="359"/>
    <d v="2025-01-05T00:00:00"/>
    <x v="1"/>
    <x v="0"/>
    <x v="2"/>
    <x v="5"/>
    <x v="0"/>
    <n v="2215"/>
    <n v="1257.26"/>
    <n v="7.0000000000000007E-2"/>
    <n v="88.008200000000002"/>
  </r>
  <r>
    <n v="360"/>
    <d v="2025-01-06T00:00:00"/>
    <x v="1"/>
    <x v="0"/>
    <x v="0"/>
    <x v="5"/>
    <x v="2"/>
    <n v="4383"/>
    <n v="5699.46"/>
    <n v="0.04"/>
    <n v="227.97839999999999"/>
  </r>
  <r>
    <n v="361"/>
    <d v="2025-01-07T00:00:00"/>
    <x v="1"/>
    <x v="0"/>
    <x v="0"/>
    <x v="5"/>
    <x v="0"/>
    <n v="4139"/>
    <n v="3036.83"/>
    <n v="0.04"/>
    <n v="121.47320000000001"/>
  </r>
  <r>
    <n v="362"/>
    <d v="2025-01-08T00:00:00"/>
    <x v="1"/>
    <x v="0"/>
    <x v="2"/>
    <x v="5"/>
    <x v="3"/>
    <n v="4400"/>
    <n v="4576.05"/>
    <n v="7.0000000000000007E-2"/>
    <n v="320.32350000000002"/>
  </r>
  <r>
    <n v="363"/>
    <d v="2025-01-09T00:00:00"/>
    <x v="1"/>
    <x v="0"/>
    <x v="2"/>
    <x v="3"/>
    <x v="0"/>
    <n v="4618"/>
    <n v="6373.21"/>
    <n v="7.0000000000000007E-2"/>
    <n v="446.12470000000002"/>
  </r>
  <r>
    <n v="364"/>
    <d v="2025-01-10T00:00:00"/>
    <x v="1"/>
    <x v="0"/>
    <x v="2"/>
    <x v="3"/>
    <x v="3"/>
    <n v="4863"/>
    <n v="5596.72"/>
    <n v="7.0000000000000007E-2"/>
    <n v="391.7704"/>
  </r>
  <r>
    <n v="365"/>
    <d v="2025-01-11T00:00:00"/>
    <x v="1"/>
    <x v="0"/>
    <x v="1"/>
    <x v="6"/>
    <x v="3"/>
    <n v="3704"/>
    <n v="3826.08"/>
    <n v="0.05"/>
    <n v="191.304"/>
  </r>
  <r>
    <n v="366"/>
    <d v="2025-01-12T00:00:00"/>
    <x v="1"/>
    <x v="0"/>
    <x v="1"/>
    <x v="0"/>
    <x v="3"/>
    <n v="4828"/>
    <n v="3979.88"/>
    <n v="0.05"/>
    <n v="198.994"/>
  </r>
  <r>
    <n v="367"/>
    <d v="2025-01-13T00:00:00"/>
    <x v="1"/>
    <x v="0"/>
    <x v="1"/>
    <x v="1"/>
    <x v="1"/>
    <n v="2362"/>
    <n v="1967.55"/>
    <n v="0.05"/>
    <n v="98.377499999999998"/>
  </r>
  <r>
    <n v="368"/>
    <d v="2025-01-14T00:00:00"/>
    <x v="1"/>
    <x v="0"/>
    <x v="0"/>
    <x v="1"/>
    <x v="2"/>
    <n v="4604"/>
    <n v="5384.32"/>
    <n v="0.04"/>
    <n v="215.37280000000001"/>
  </r>
  <r>
    <n v="369"/>
    <d v="2025-01-15T00:00:00"/>
    <x v="1"/>
    <x v="0"/>
    <x v="2"/>
    <x v="5"/>
    <x v="3"/>
    <n v="3716"/>
    <n v="5552.22"/>
    <n v="7.0000000000000007E-2"/>
    <n v="388.65539999999999"/>
  </r>
  <r>
    <n v="370"/>
    <d v="2025-01-16T00:00:00"/>
    <x v="1"/>
    <x v="0"/>
    <x v="0"/>
    <x v="6"/>
    <x v="3"/>
    <n v="3193"/>
    <n v="3709.75"/>
    <n v="0.04"/>
    <n v="148.38999999999999"/>
  </r>
  <r>
    <n v="371"/>
    <d v="2025-01-17T00:00:00"/>
    <x v="1"/>
    <x v="0"/>
    <x v="1"/>
    <x v="4"/>
    <x v="1"/>
    <n v="2355"/>
    <n v="2491.08"/>
    <n v="0.05"/>
    <n v="124.554"/>
  </r>
  <r>
    <n v="372"/>
    <d v="2025-01-18T00:00:00"/>
    <x v="1"/>
    <x v="0"/>
    <x v="2"/>
    <x v="0"/>
    <x v="3"/>
    <n v="2190"/>
    <n v="2695.12"/>
    <n v="7.0000000000000007E-2"/>
    <n v="188.6584"/>
  </r>
  <r>
    <n v="373"/>
    <d v="2025-01-19T00:00:00"/>
    <x v="1"/>
    <x v="0"/>
    <x v="0"/>
    <x v="6"/>
    <x v="0"/>
    <n v="4469"/>
    <n v="4313.5"/>
    <n v="0.04"/>
    <n v="172.54"/>
  </r>
  <r>
    <n v="374"/>
    <d v="2025-01-20T00:00:00"/>
    <x v="1"/>
    <x v="0"/>
    <x v="2"/>
    <x v="0"/>
    <x v="0"/>
    <n v="2699"/>
    <n v="1511.82"/>
    <n v="7.0000000000000007E-2"/>
    <n v="105.8274"/>
  </r>
  <r>
    <n v="375"/>
    <d v="2025-01-21T00:00:00"/>
    <x v="1"/>
    <x v="0"/>
    <x v="0"/>
    <x v="0"/>
    <x v="2"/>
    <n v="4054"/>
    <n v="4306.55"/>
    <n v="0.04"/>
    <n v="172.262"/>
  </r>
  <r>
    <n v="376"/>
    <d v="2025-01-22T00:00:00"/>
    <x v="1"/>
    <x v="0"/>
    <x v="2"/>
    <x v="0"/>
    <x v="3"/>
    <n v="4180"/>
    <n v="6092.87"/>
    <n v="7.0000000000000007E-2"/>
    <n v="426.5009"/>
  </r>
  <r>
    <n v="377"/>
    <d v="2025-01-23T00:00:00"/>
    <x v="1"/>
    <x v="0"/>
    <x v="1"/>
    <x v="6"/>
    <x v="1"/>
    <n v="2556"/>
    <n v="1726.07"/>
    <n v="0.05"/>
    <n v="86.3035"/>
  </r>
  <r>
    <n v="378"/>
    <d v="2025-01-24T00:00:00"/>
    <x v="1"/>
    <x v="0"/>
    <x v="1"/>
    <x v="5"/>
    <x v="0"/>
    <n v="2825"/>
    <n v="3361.76"/>
    <n v="0.05"/>
    <n v="168.08799999999999"/>
  </r>
  <r>
    <n v="379"/>
    <d v="2025-01-25T00:00:00"/>
    <x v="1"/>
    <x v="0"/>
    <x v="2"/>
    <x v="1"/>
    <x v="1"/>
    <n v="4808"/>
    <n v="3370.09"/>
    <n v="7.0000000000000007E-2"/>
    <n v="235.90629999999999"/>
  </r>
  <r>
    <n v="380"/>
    <d v="2025-01-26T00:00:00"/>
    <x v="1"/>
    <x v="0"/>
    <x v="0"/>
    <x v="1"/>
    <x v="1"/>
    <n v="3054"/>
    <n v="3163.42"/>
    <n v="0.04"/>
    <n v="126.5368"/>
  </r>
  <r>
    <n v="381"/>
    <d v="2025-01-27T00:00:00"/>
    <x v="1"/>
    <x v="0"/>
    <x v="1"/>
    <x v="5"/>
    <x v="0"/>
    <n v="4582"/>
    <n v="2733.97"/>
    <n v="0.05"/>
    <n v="136.6985"/>
  </r>
  <r>
    <n v="382"/>
    <d v="2025-01-28T00:00:00"/>
    <x v="1"/>
    <x v="0"/>
    <x v="1"/>
    <x v="0"/>
    <x v="1"/>
    <n v="2425"/>
    <n v="2304.65"/>
    <n v="0.05"/>
    <n v="115.2325"/>
  </r>
  <r>
    <n v="383"/>
    <d v="2025-01-29T00:00:00"/>
    <x v="1"/>
    <x v="0"/>
    <x v="1"/>
    <x v="4"/>
    <x v="0"/>
    <n v="4719"/>
    <n v="5927.83"/>
    <n v="0.05"/>
    <n v="296.39150000000001"/>
  </r>
  <r>
    <n v="384"/>
    <d v="2025-01-30T00:00:00"/>
    <x v="1"/>
    <x v="0"/>
    <x v="2"/>
    <x v="2"/>
    <x v="1"/>
    <n v="4410"/>
    <n v="3737.79"/>
    <n v="7.0000000000000007E-2"/>
    <n v="261.64530000000002"/>
  </r>
  <r>
    <n v="385"/>
    <d v="2025-01-31T00:00:00"/>
    <x v="1"/>
    <x v="0"/>
    <x v="2"/>
    <x v="6"/>
    <x v="0"/>
    <n v="3574"/>
    <n v="4163.3900000000003"/>
    <n v="7.0000000000000007E-2"/>
    <n v="291.43729999999999"/>
  </r>
  <r>
    <n v="386"/>
    <d v="2025-02-01T00:00:00"/>
    <x v="1"/>
    <x v="1"/>
    <x v="0"/>
    <x v="2"/>
    <x v="3"/>
    <n v="4129"/>
    <n v="5348.91"/>
    <n v="0.04"/>
    <n v="213.9564"/>
  </r>
  <r>
    <n v="387"/>
    <d v="2025-02-02T00:00:00"/>
    <x v="1"/>
    <x v="1"/>
    <x v="0"/>
    <x v="5"/>
    <x v="2"/>
    <n v="4403"/>
    <n v="6283.86"/>
    <n v="0.04"/>
    <n v="251.3544"/>
  </r>
  <r>
    <n v="388"/>
    <d v="2025-02-03T00:00:00"/>
    <x v="1"/>
    <x v="1"/>
    <x v="0"/>
    <x v="4"/>
    <x v="0"/>
    <n v="2588"/>
    <n v="1901.25"/>
    <n v="0.04"/>
    <n v="76.05"/>
  </r>
  <r>
    <n v="389"/>
    <d v="2025-02-04T00:00:00"/>
    <x v="1"/>
    <x v="1"/>
    <x v="2"/>
    <x v="6"/>
    <x v="0"/>
    <n v="4012"/>
    <n v="3608.06"/>
    <n v="7.0000000000000007E-2"/>
    <n v="252.5642"/>
  </r>
  <r>
    <n v="390"/>
    <d v="2025-02-05T00:00:00"/>
    <x v="1"/>
    <x v="1"/>
    <x v="2"/>
    <x v="5"/>
    <x v="2"/>
    <n v="3547"/>
    <n v="2314.12"/>
    <n v="7.0000000000000007E-2"/>
    <n v="161.98840000000001"/>
  </r>
  <r>
    <n v="391"/>
    <d v="2025-02-06T00:00:00"/>
    <x v="1"/>
    <x v="1"/>
    <x v="0"/>
    <x v="0"/>
    <x v="0"/>
    <n v="2294"/>
    <n v="3423.76"/>
    <n v="0.04"/>
    <n v="136.9504"/>
  </r>
  <r>
    <n v="392"/>
    <d v="2025-02-07T00:00:00"/>
    <x v="1"/>
    <x v="1"/>
    <x v="0"/>
    <x v="1"/>
    <x v="0"/>
    <n v="3985"/>
    <n v="5686.6"/>
    <n v="0.04"/>
    <n v="227.464"/>
  </r>
  <r>
    <n v="393"/>
    <d v="2025-02-08T00:00:00"/>
    <x v="1"/>
    <x v="1"/>
    <x v="2"/>
    <x v="2"/>
    <x v="1"/>
    <n v="3247"/>
    <n v="3376.74"/>
    <n v="7.0000000000000007E-2"/>
    <n v="236.37180000000001"/>
  </r>
  <r>
    <n v="394"/>
    <d v="2025-02-09T00:00:00"/>
    <x v="1"/>
    <x v="1"/>
    <x v="0"/>
    <x v="3"/>
    <x v="2"/>
    <n v="3548"/>
    <n v="4761.53"/>
    <n v="0.04"/>
    <n v="190.46119999999999"/>
  </r>
  <r>
    <n v="395"/>
    <d v="2025-02-10T00:00:00"/>
    <x v="1"/>
    <x v="1"/>
    <x v="1"/>
    <x v="3"/>
    <x v="3"/>
    <n v="3690"/>
    <n v="3767.33"/>
    <n v="0.05"/>
    <n v="188.3665"/>
  </r>
  <r>
    <n v="396"/>
    <d v="2025-02-11T00:00:00"/>
    <x v="1"/>
    <x v="1"/>
    <x v="2"/>
    <x v="4"/>
    <x v="0"/>
    <n v="3136"/>
    <n v="3523.56"/>
    <n v="7.0000000000000007E-2"/>
    <n v="246.64920000000001"/>
  </r>
  <r>
    <n v="397"/>
    <d v="2025-02-12T00:00:00"/>
    <x v="1"/>
    <x v="1"/>
    <x v="0"/>
    <x v="0"/>
    <x v="2"/>
    <n v="3256"/>
    <n v="1918.19"/>
    <n v="0.04"/>
    <n v="76.727599999999995"/>
  </r>
  <r>
    <n v="398"/>
    <d v="2025-02-13T00:00:00"/>
    <x v="1"/>
    <x v="1"/>
    <x v="2"/>
    <x v="2"/>
    <x v="1"/>
    <n v="4064"/>
    <n v="5101.42"/>
    <n v="7.0000000000000007E-2"/>
    <n v="357.0994"/>
  </r>
  <r>
    <n v="399"/>
    <d v="2025-02-14T00:00:00"/>
    <x v="1"/>
    <x v="1"/>
    <x v="1"/>
    <x v="0"/>
    <x v="3"/>
    <n v="2359"/>
    <n v="1480.78"/>
    <n v="0.05"/>
    <n v="74.039000000000001"/>
  </r>
  <r>
    <n v="400"/>
    <d v="2025-02-16T00:00:00"/>
    <x v="1"/>
    <x v="1"/>
    <x v="2"/>
    <x v="4"/>
    <x v="3"/>
    <n v="2699"/>
    <n v="3460.19"/>
    <n v="7.0000000000000007E-2"/>
    <n v="242.2133"/>
  </r>
  <r>
    <n v="401"/>
    <d v="2025-02-17T00:00:00"/>
    <x v="1"/>
    <x v="1"/>
    <x v="2"/>
    <x v="4"/>
    <x v="3"/>
    <n v="2447"/>
    <n v="2957.8"/>
    <n v="7.0000000000000007E-2"/>
    <n v="207.04599999999999"/>
  </r>
  <r>
    <n v="402"/>
    <d v="2025-02-18T00:00:00"/>
    <x v="1"/>
    <x v="1"/>
    <x v="2"/>
    <x v="3"/>
    <x v="3"/>
    <n v="4903"/>
    <n v="2628.79"/>
    <n v="7.0000000000000007E-2"/>
    <n v="184.0153"/>
  </r>
  <r>
    <n v="403"/>
    <d v="2025-02-19T00:00:00"/>
    <x v="1"/>
    <x v="1"/>
    <x v="1"/>
    <x v="0"/>
    <x v="0"/>
    <n v="4412"/>
    <n v="3543.4"/>
    <n v="0.05"/>
    <n v="177.17"/>
  </r>
  <r>
    <n v="404"/>
    <d v="2025-02-20T00:00:00"/>
    <x v="1"/>
    <x v="1"/>
    <x v="2"/>
    <x v="6"/>
    <x v="0"/>
    <n v="2674"/>
    <n v="2040.56"/>
    <n v="7.0000000000000007E-2"/>
    <n v="142.83920000000001"/>
  </r>
  <r>
    <n v="405"/>
    <d v="2025-02-21T00:00:00"/>
    <x v="1"/>
    <x v="1"/>
    <x v="2"/>
    <x v="3"/>
    <x v="1"/>
    <n v="3007"/>
    <n v="2586.4299999999998"/>
    <n v="7.0000000000000007E-2"/>
    <n v="181.05009999999999"/>
  </r>
  <r>
    <n v="406"/>
    <d v="2025-02-22T00:00:00"/>
    <x v="1"/>
    <x v="1"/>
    <x v="0"/>
    <x v="0"/>
    <x v="1"/>
    <n v="3349"/>
    <n v="1968.02"/>
    <n v="0.04"/>
    <n v="78.720799999999997"/>
  </r>
  <r>
    <n v="407"/>
    <d v="2025-02-23T00:00:00"/>
    <x v="1"/>
    <x v="1"/>
    <x v="2"/>
    <x v="3"/>
    <x v="2"/>
    <n v="4514"/>
    <n v="6486.43"/>
    <n v="7.0000000000000007E-2"/>
    <n v="454.05009999999999"/>
  </r>
  <r>
    <n v="408"/>
    <d v="2025-02-24T00:00:00"/>
    <x v="1"/>
    <x v="1"/>
    <x v="0"/>
    <x v="6"/>
    <x v="1"/>
    <n v="4461"/>
    <n v="4701.01"/>
    <n v="0.04"/>
    <n v="188.04040000000001"/>
  </r>
  <r>
    <n v="409"/>
    <d v="2025-02-25T00:00:00"/>
    <x v="1"/>
    <x v="1"/>
    <x v="1"/>
    <x v="1"/>
    <x v="3"/>
    <n v="2585"/>
    <n v="2082.2800000000002"/>
    <n v="0.05"/>
    <n v="104.114"/>
  </r>
  <r>
    <n v="410"/>
    <d v="2025-02-26T00:00:00"/>
    <x v="1"/>
    <x v="1"/>
    <x v="1"/>
    <x v="1"/>
    <x v="3"/>
    <n v="3256"/>
    <n v="2920.57"/>
    <n v="0.05"/>
    <n v="146.02850000000001"/>
  </r>
  <r>
    <n v="411"/>
    <d v="2025-02-27T00:00:00"/>
    <x v="1"/>
    <x v="1"/>
    <x v="1"/>
    <x v="1"/>
    <x v="0"/>
    <n v="3247"/>
    <n v="3075.57"/>
    <n v="0.05"/>
    <n v="153.77850000000001"/>
  </r>
  <r>
    <n v="412"/>
    <d v="2025-02-28T00:00:00"/>
    <x v="1"/>
    <x v="1"/>
    <x v="1"/>
    <x v="1"/>
    <x v="3"/>
    <n v="2993"/>
    <n v="3294.08"/>
    <n v="0.05"/>
    <n v="164.70400000000001"/>
  </r>
  <r>
    <n v="413"/>
    <d v="2025-03-01T00:00:00"/>
    <x v="1"/>
    <x v="2"/>
    <x v="0"/>
    <x v="5"/>
    <x v="2"/>
    <n v="3435"/>
    <n v="3488.86"/>
    <n v="0.04"/>
    <n v="139.55439999999999"/>
  </r>
  <r>
    <n v="414"/>
    <d v="2025-03-02T00:00:00"/>
    <x v="1"/>
    <x v="2"/>
    <x v="2"/>
    <x v="2"/>
    <x v="3"/>
    <n v="2571"/>
    <n v="3649.26"/>
    <n v="7.0000000000000007E-2"/>
    <n v="255.44820000000001"/>
  </r>
  <r>
    <n v="415"/>
    <d v="2025-03-03T00:00:00"/>
    <x v="1"/>
    <x v="2"/>
    <x v="1"/>
    <x v="5"/>
    <x v="3"/>
    <n v="4382"/>
    <n v="4368.6899999999996"/>
    <n v="0.05"/>
    <n v="218.43450000000001"/>
  </r>
  <r>
    <n v="416"/>
    <d v="2025-03-04T00:00:00"/>
    <x v="1"/>
    <x v="2"/>
    <x v="2"/>
    <x v="5"/>
    <x v="2"/>
    <n v="3245"/>
    <n v="4842.05"/>
    <n v="7.0000000000000007E-2"/>
    <n v="338.94349999999997"/>
  </r>
  <r>
    <n v="417"/>
    <d v="2025-03-05T00:00:00"/>
    <x v="1"/>
    <x v="2"/>
    <x v="0"/>
    <x v="5"/>
    <x v="1"/>
    <n v="4084"/>
    <n v="5519.22"/>
    <n v="0.04"/>
    <n v="220.7688"/>
  </r>
  <r>
    <n v="418"/>
    <d v="2025-03-06T00:00:00"/>
    <x v="1"/>
    <x v="2"/>
    <x v="0"/>
    <x v="1"/>
    <x v="1"/>
    <n v="2988"/>
    <n v="2117.0300000000002"/>
    <n v="0.04"/>
    <n v="84.681200000000004"/>
  </r>
  <r>
    <n v="419"/>
    <d v="2025-03-07T00:00:00"/>
    <x v="1"/>
    <x v="2"/>
    <x v="0"/>
    <x v="6"/>
    <x v="2"/>
    <n v="2277"/>
    <n v="3257.47"/>
    <n v="0.04"/>
    <n v="130.2988"/>
  </r>
  <r>
    <n v="420"/>
    <d v="2025-03-08T00:00:00"/>
    <x v="1"/>
    <x v="2"/>
    <x v="1"/>
    <x v="4"/>
    <x v="0"/>
    <n v="3219"/>
    <n v="1984.08"/>
    <n v="0.05"/>
    <n v="99.203999999999994"/>
  </r>
  <r>
    <n v="421"/>
    <d v="2025-03-09T00:00:00"/>
    <x v="1"/>
    <x v="2"/>
    <x v="2"/>
    <x v="4"/>
    <x v="3"/>
    <n v="4963"/>
    <n v="6538.5"/>
    <n v="7.0000000000000007E-2"/>
    <n v="457.69499999999999"/>
  </r>
  <r>
    <n v="422"/>
    <d v="2025-03-10T00:00:00"/>
    <x v="1"/>
    <x v="2"/>
    <x v="2"/>
    <x v="2"/>
    <x v="2"/>
    <n v="3887"/>
    <n v="3422.98"/>
    <n v="7.0000000000000007E-2"/>
    <n v="239.6086"/>
  </r>
  <r>
    <n v="423"/>
    <d v="2025-03-11T00:00:00"/>
    <x v="1"/>
    <x v="2"/>
    <x v="2"/>
    <x v="1"/>
    <x v="3"/>
    <n v="2483"/>
    <n v="3421.51"/>
    <n v="7.0000000000000007E-2"/>
    <n v="239.50569999999999"/>
  </r>
  <r>
    <n v="424"/>
    <d v="2025-03-13T00:00:00"/>
    <x v="1"/>
    <x v="2"/>
    <x v="1"/>
    <x v="1"/>
    <x v="3"/>
    <n v="2730"/>
    <n v="3565.18"/>
    <n v="0.05"/>
    <n v="178.25899999999999"/>
  </r>
  <r>
    <n v="425"/>
    <d v="2025-03-14T00:00:00"/>
    <x v="1"/>
    <x v="2"/>
    <x v="0"/>
    <x v="3"/>
    <x v="2"/>
    <n v="4239"/>
    <n v="5468.44"/>
    <n v="0.04"/>
    <n v="218.73759999999999"/>
  </r>
  <r>
    <n v="426"/>
    <d v="2025-03-15T00:00:00"/>
    <x v="1"/>
    <x v="2"/>
    <x v="0"/>
    <x v="0"/>
    <x v="3"/>
    <n v="3040"/>
    <n v="2446.2199999999998"/>
    <n v="0.04"/>
    <n v="97.848799999999997"/>
  </r>
  <r>
    <n v="427"/>
    <d v="2025-03-16T00:00:00"/>
    <x v="1"/>
    <x v="2"/>
    <x v="2"/>
    <x v="3"/>
    <x v="1"/>
    <n v="4571"/>
    <n v="2655.38"/>
    <n v="7.0000000000000007E-2"/>
    <n v="185.8766"/>
  </r>
  <r>
    <n v="428"/>
    <d v="2025-03-17T00:00:00"/>
    <x v="1"/>
    <x v="2"/>
    <x v="0"/>
    <x v="0"/>
    <x v="0"/>
    <n v="2917"/>
    <n v="2633.99"/>
    <n v="0.04"/>
    <n v="105.3596"/>
  </r>
  <r>
    <n v="429"/>
    <d v="2025-03-18T00:00:00"/>
    <x v="1"/>
    <x v="2"/>
    <x v="2"/>
    <x v="1"/>
    <x v="0"/>
    <n v="4448"/>
    <n v="2995.84"/>
    <n v="7.0000000000000007E-2"/>
    <n v="209.7088"/>
  </r>
  <r>
    <n v="430"/>
    <d v="2025-03-19T00:00:00"/>
    <x v="1"/>
    <x v="2"/>
    <x v="1"/>
    <x v="1"/>
    <x v="0"/>
    <n v="2885"/>
    <n v="3447.43"/>
    <n v="0.05"/>
    <n v="172.3715"/>
  </r>
  <r>
    <n v="431"/>
    <d v="2025-03-20T00:00:00"/>
    <x v="1"/>
    <x v="2"/>
    <x v="2"/>
    <x v="3"/>
    <x v="2"/>
    <n v="4752"/>
    <n v="4020.67"/>
    <n v="7.0000000000000007E-2"/>
    <n v="281.44690000000003"/>
  </r>
  <r>
    <n v="432"/>
    <d v="2025-03-21T00:00:00"/>
    <x v="1"/>
    <x v="2"/>
    <x v="1"/>
    <x v="3"/>
    <x v="0"/>
    <n v="2021"/>
    <n v="2982.21"/>
    <n v="0.05"/>
    <n v="149.1105"/>
  </r>
  <r>
    <n v="433"/>
    <d v="2025-03-22T00:00:00"/>
    <x v="1"/>
    <x v="2"/>
    <x v="2"/>
    <x v="0"/>
    <x v="1"/>
    <n v="2473"/>
    <n v="2821.62"/>
    <n v="7.0000000000000007E-2"/>
    <n v="197.51339999999999"/>
  </r>
  <r>
    <n v="434"/>
    <d v="2025-03-23T00:00:00"/>
    <x v="1"/>
    <x v="2"/>
    <x v="0"/>
    <x v="4"/>
    <x v="2"/>
    <n v="4257"/>
    <n v="5629.8"/>
    <n v="0.04"/>
    <n v="225.19200000000001"/>
  </r>
  <r>
    <n v="435"/>
    <d v="2025-03-24T00:00:00"/>
    <x v="1"/>
    <x v="2"/>
    <x v="0"/>
    <x v="0"/>
    <x v="1"/>
    <n v="4353"/>
    <n v="2753.38"/>
    <n v="0.04"/>
    <n v="110.1352"/>
  </r>
  <r>
    <n v="436"/>
    <d v="2025-03-25T00:00:00"/>
    <x v="1"/>
    <x v="2"/>
    <x v="1"/>
    <x v="3"/>
    <x v="3"/>
    <n v="2703"/>
    <n v="3681.53"/>
    <n v="0.05"/>
    <n v="184.07650000000001"/>
  </r>
  <r>
    <n v="437"/>
    <d v="2025-03-27T00:00:00"/>
    <x v="1"/>
    <x v="2"/>
    <x v="1"/>
    <x v="3"/>
    <x v="3"/>
    <n v="2284"/>
    <n v="2254.4499999999998"/>
    <n v="0.05"/>
    <n v="112.7225"/>
  </r>
  <r>
    <n v="438"/>
    <d v="2025-03-28T00:00:00"/>
    <x v="1"/>
    <x v="2"/>
    <x v="2"/>
    <x v="6"/>
    <x v="3"/>
    <n v="2715"/>
    <n v="3003.48"/>
    <n v="7.0000000000000007E-2"/>
    <n v="210.24359999999999"/>
  </r>
  <r>
    <n v="439"/>
    <d v="2025-03-29T00:00:00"/>
    <x v="1"/>
    <x v="2"/>
    <x v="2"/>
    <x v="2"/>
    <x v="1"/>
    <n v="2762"/>
    <n v="3493.4"/>
    <n v="7.0000000000000007E-2"/>
    <n v="244.53800000000001"/>
  </r>
  <r>
    <n v="440"/>
    <d v="2025-03-30T00:00:00"/>
    <x v="1"/>
    <x v="2"/>
    <x v="1"/>
    <x v="3"/>
    <x v="2"/>
    <n v="3250"/>
    <n v="2193.23"/>
    <n v="0.05"/>
    <n v="109.6615"/>
  </r>
  <r>
    <n v="441"/>
    <d v="2025-03-31T00:00:00"/>
    <x v="1"/>
    <x v="2"/>
    <x v="0"/>
    <x v="2"/>
    <x v="2"/>
    <n v="2947"/>
    <n v="2954.56"/>
    <n v="0.04"/>
    <n v="118.1824"/>
  </r>
  <r>
    <n v="442"/>
    <d v="2025-04-01T00:00:00"/>
    <x v="1"/>
    <x v="3"/>
    <x v="2"/>
    <x v="4"/>
    <x v="0"/>
    <n v="4428"/>
    <n v="3979.28"/>
    <n v="7.0000000000000007E-2"/>
    <n v="278.5496"/>
  </r>
  <r>
    <n v="443"/>
    <d v="2025-04-02T00:00:00"/>
    <x v="1"/>
    <x v="3"/>
    <x v="2"/>
    <x v="0"/>
    <x v="1"/>
    <n v="4507"/>
    <n v="2913.21"/>
    <n v="7.0000000000000007E-2"/>
    <n v="203.9247"/>
  </r>
  <r>
    <n v="444"/>
    <d v="2025-04-03T00:00:00"/>
    <x v="1"/>
    <x v="3"/>
    <x v="2"/>
    <x v="6"/>
    <x v="3"/>
    <n v="3030"/>
    <n v="2628.63"/>
    <n v="7.0000000000000007E-2"/>
    <n v="184.00409999999999"/>
  </r>
  <r>
    <n v="445"/>
    <d v="2025-04-04T00:00:00"/>
    <x v="1"/>
    <x v="3"/>
    <x v="1"/>
    <x v="0"/>
    <x v="1"/>
    <n v="2028"/>
    <n v="1152.25"/>
    <n v="0.05"/>
    <n v="57.612499999999997"/>
  </r>
  <r>
    <n v="446"/>
    <d v="2025-04-05T00:00:00"/>
    <x v="1"/>
    <x v="3"/>
    <x v="1"/>
    <x v="2"/>
    <x v="0"/>
    <n v="2906"/>
    <n v="1528.01"/>
    <n v="0.05"/>
    <n v="76.400499999999994"/>
  </r>
  <r>
    <n v="447"/>
    <d v="2025-04-06T00:00:00"/>
    <x v="1"/>
    <x v="3"/>
    <x v="1"/>
    <x v="6"/>
    <x v="0"/>
    <n v="4926"/>
    <n v="3128.83"/>
    <n v="0.05"/>
    <n v="156.44149999999999"/>
  </r>
  <r>
    <n v="448"/>
    <d v="2025-04-07T00:00:00"/>
    <x v="1"/>
    <x v="3"/>
    <x v="1"/>
    <x v="0"/>
    <x v="1"/>
    <n v="4126"/>
    <n v="6036.81"/>
    <n v="0.05"/>
    <n v="301.84050000000002"/>
  </r>
  <r>
    <n v="449"/>
    <d v="2025-04-08T00:00:00"/>
    <x v="1"/>
    <x v="3"/>
    <x v="1"/>
    <x v="3"/>
    <x v="1"/>
    <n v="4994"/>
    <n v="5241.3500000000004"/>
    <n v="0.05"/>
    <n v="262.0675"/>
  </r>
  <r>
    <n v="450"/>
    <d v="2025-04-09T00:00:00"/>
    <x v="1"/>
    <x v="3"/>
    <x v="0"/>
    <x v="1"/>
    <x v="1"/>
    <n v="4506"/>
    <n v="6604.99"/>
    <n v="0.04"/>
    <n v="264.19959999999998"/>
  </r>
  <r>
    <n v="451"/>
    <d v="2025-04-10T00:00:00"/>
    <x v="1"/>
    <x v="3"/>
    <x v="0"/>
    <x v="2"/>
    <x v="2"/>
    <n v="2569"/>
    <n v="2395.59"/>
    <n v="0.04"/>
    <n v="95.823599999999999"/>
  </r>
  <r>
    <n v="452"/>
    <d v="2025-04-11T00:00:00"/>
    <x v="1"/>
    <x v="3"/>
    <x v="1"/>
    <x v="0"/>
    <x v="3"/>
    <n v="4006"/>
    <n v="3252.14"/>
    <n v="0.05"/>
    <n v="162.607"/>
  </r>
  <r>
    <n v="453"/>
    <d v="2025-04-12T00:00:00"/>
    <x v="1"/>
    <x v="3"/>
    <x v="2"/>
    <x v="2"/>
    <x v="1"/>
    <n v="3453"/>
    <n v="3474.21"/>
    <n v="7.0000000000000007E-2"/>
    <n v="243.19470000000001"/>
  </r>
  <r>
    <n v="454"/>
    <d v="2025-04-13T00:00:00"/>
    <x v="1"/>
    <x v="3"/>
    <x v="1"/>
    <x v="5"/>
    <x v="1"/>
    <n v="2737"/>
    <n v="2571.44"/>
    <n v="0.05"/>
    <n v="128.572"/>
  </r>
  <r>
    <n v="455"/>
    <d v="2025-04-14T00:00:00"/>
    <x v="1"/>
    <x v="3"/>
    <x v="0"/>
    <x v="2"/>
    <x v="1"/>
    <n v="2515"/>
    <n v="1523.25"/>
    <n v="0.04"/>
    <n v="60.93"/>
  </r>
  <r>
    <n v="456"/>
    <d v="2025-04-15T00:00:00"/>
    <x v="1"/>
    <x v="3"/>
    <x v="0"/>
    <x v="6"/>
    <x v="0"/>
    <n v="4000"/>
    <n v="4563.3100000000004"/>
    <n v="0.04"/>
    <n v="182.5324"/>
  </r>
  <r>
    <n v="457"/>
    <d v="2025-04-16T00:00:00"/>
    <x v="1"/>
    <x v="3"/>
    <x v="2"/>
    <x v="5"/>
    <x v="0"/>
    <n v="4444"/>
    <n v="3182.07"/>
    <n v="7.0000000000000007E-2"/>
    <n v="222.7449"/>
  </r>
  <r>
    <n v="458"/>
    <d v="2025-04-17T00:00:00"/>
    <x v="1"/>
    <x v="3"/>
    <x v="0"/>
    <x v="6"/>
    <x v="2"/>
    <n v="2038"/>
    <n v="2281.7199999999998"/>
    <n v="0.04"/>
    <n v="91.268799999999999"/>
  </r>
  <r>
    <n v="459"/>
    <d v="2025-04-18T00:00:00"/>
    <x v="1"/>
    <x v="3"/>
    <x v="1"/>
    <x v="1"/>
    <x v="3"/>
    <n v="2886"/>
    <n v="3319.48"/>
    <n v="0.05"/>
    <n v="165.97399999999999"/>
  </r>
  <r>
    <n v="460"/>
    <d v="2025-04-19T00:00:00"/>
    <x v="1"/>
    <x v="3"/>
    <x v="2"/>
    <x v="5"/>
    <x v="2"/>
    <n v="4844"/>
    <n v="3158.41"/>
    <n v="7.0000000000000007E-2"/>
    <n v="221.08869999999999"/>
  </r>
  <r>
    <n v="461"/>
    <d v="2025-04-20T00:00:00"/>
    <x v="1"/>
    <x v="3"/>
    <x v="1"/>
    <x v="3"/>
    <x v="3"/>
    <n v="4204"/>
    <n v="2359.91"/>
    <n v="0.05"/>
    <n v="117.99550000000001"/>
  </r>
  <r>
    <n v="462"/>
    <d v="2025-04-21T00:00:00"/>
    <x v="1"/>
    <x v="3"/>
    <x v="1"/>
    <x v="2"/>
    <x v="0"/>
    <n v="3098"/>
    <n v="3967.8"/>
    <n v="0.05"/>
    <n v="198.39"/>
  </r>
  <r>
    <n v="463"/>
    <d v="2025-04-22T00:00:00"/>
    <x v="1"/>
    <x v="3"/>
    <x v="2"/>
    <x v="0"/>
    <x v="0"/>
    <n v="4931"/>
    <n v="4732.78"/>
    <n v="7.0000000000000007E-2"/>
    <n v="331.2946"/>
  </r>
  <r>
    <n v="464"/>
    <d v="2025-04-23T00:00:00"/>
    <x v="1"/>
    <x v="3"/>
    <x v="1"/>
    <x v="4"/>
    <x v="0"/>
    <n v="3823"/>
    <n v="2133.86"/>
    <n v="0.05"/>
    <n v="106.693"/>
  </r>
  <r>
    <n v="465"/>
    <d v="2025-04-24T00:00:00"/>
    <x v="1"/>
    <x v="3"/>
    <x v="0"/>
    <x v="2"/>
    <x v="2"/>
    <n v="3710"/>
    <n v="5545.95"/>
    <n v="0.04"/>
    <n v="221.83799999999999"/>
  </r>
  <r>
    <n v="466"/>
    <d v="2025-04-25T00:00:00"/>
    <x v="1"/>
    <x v="3"/>
    <x v="1"/>
    <x v="2"/>
    <x v="1"/>
    <n v="2973"/>
    <n v="1658.28"/>
    <n v="0.05"/>
    <n v="82.914000000000001"/>
  </r>
  <r>
    <n v="467"/>
    <d v="2025-04-26T00:00:00"/>
    <x v="1"/>
    <x v="3"/>
    <x v="2"/>
    <x v="1"/>
    <x v="1"/>
    <n v="3562"/>
    <n v="4256.72"/>
    <n v="7.0000000000000007E-2"/>
    <n v="297.97039999999998"/>
  </r>
  <r>
    <n v="468"/>
    <d v="2025-04-27T00:00:00"/>
    <x v="1"/>
    <x v="3"/>
    <x v="2"/>
    <x v="3"/>
    <x v="0"/>
    <n v="4896"/>
    <n v="7264.09"/>
    <n v="7.0000000000000007E-2"/>
    <n v="508.48630000000003"/>
  </r>
  <r>
    <n v="469"/>
    <d v="2025-04-28T00:00:00"/>
    <x v="1"/>
    <x v="3"/>
    <x v="2"/>
    <x v="4"/>
    <x v="1"/>
    <n v="4795"/>
    <n v="3544.37"/>
    <n v="7.0000000000000007E-2"/>
    <n v="248.10589999999999"/>
  </r>
  <r>
    <n v="470"/>
    <d v="2025-04-29T00:00:00"/>
    <x v="1"/>
    <x v="3"/>
    <x v="1"/>
    <x v="5"/>
    <x v="1"/>
    <n v="2988"/>
    <n v="1919.04"/>
    <n v="0.05"/>
    <n v="95.951999999999998"/>
  </r>
  <r>
    <n v="471"/>
    <d v="2025-04-30T00:00:00"/>
    <x v="1"/>
    <x v="3"/>
    <x v="2"/>
    <x v="5"/>
    <x v="2"/>
    <n v="2020"/>
    <n v="1255.2"/>
    <n v="7.0000000000000007E-2"/>
    <n v="87.864000000000004"/>
  </r>
  <r>
    <n v="472"/>
    <d v="2025-05-01T00:00:00"/>
    <x v="1"/>
    <x v="4"/>
    <x v="2"/>
    <x v="5"/>
    <x v="3"/>
    <n v="4350"/>
    <n v="3494.25"/>
    <n v="7.0000000000000007E-2"/>
    <n v="244.5975"/>
  </r>
  <r>
    <n v="473"/>
    <d v="2025-05-02T00:00:00"/>
    <x v="1"/>
    <x v="4"/>
    <x v="1"/>
    <x v="6"/>
    <x v="0"/>
    <n v="2868"/>
    <n v="1723.8"/>
    <n v="0.05"/>
    <n v="86.19"/>
  </r>
  <r>
    <n v="474"/>
    <d v="2025-05-03T00:00:00"/>
    <x v="1"/>
    <x v="4"/>
    <x v="0"/>
    <x v="6"/>
    <x v="0"/>
    <n v="2083"/>
    <n v="2483.27"/>
    <n v="0.04"/>
    <n v="99.330799999999996"/>
  </r>
  <r>
    <n v="475"/>
    <d v="2025-05-04T00:00:00"/>
    <x v="1"/>
    <x v="4"/>
    <x v="1"/>
    <x v="0"/>
    <x v="2"/>
    <n v="3682"/>
    <n v="2070.36"/>
    <n v="0.05"/>
    <n v="103.518"/>
  </r>
  <r>
    <n v="476"/>
    <d v="2025-05-05T00:00:00"/>
    <x v="1"/>
    <x v="4"/>
    <x v="2"/>
    <x v="4"/>
    <x v="2"/>
    <n v="3976"/>
    <n v="4013.46"/>
    <n v="7.0000000000000007E-2"/>
    <n v="280.94220000000001"/>
  </r>
  <r>
    <n v="477"/>
    <d v="2025-05-06T00:00:00"/>
    <x v="1"/>
    <x v="4"/>
    <x v="2"/>
    <x v="5"/>
    <x v="1"/>
    <n v="3410"/>
    <n v="5103.74"/>
    <n v="7.0000000000000007E-2"/>
    <n v="357.26179999999999"/>
  </r>
  <r>
    <n v="478"/>
    <d v="2025-05-07T00:00:00"/>
    <x v="1"/>
    <x v="4"/>
    <x v="1"/>
    <x v="6"/>
    <x v="0"/>
    <n v="3530"/>
    <n v="4638.32"/>
    <n v="0.05"/>
    <n v="231.916"/>
  </r>
  <r>
    <n v="479"/>
    <d v="2025-05-08T00:00:00"/>
    <x v="1"/>
    <x v="4"/>
    <x v="0"/>
    <x v="0"/>
    <x v="3"/>
    <n v="2569"/>
    <n v="2865"/>
    <n v="0.04"/>
    <n v="114.6"/>
  </r>
  <r>
    <n v="480"/>
    <d v="2025-05-09T00:00:00"/>
    <x v="1"/>
    <x v="4"/>
    <x v="2"/>
    <x v="3"/>
    <x v="2"/>
    <n v="2933"/>
    <n v="2364.7399999999998"/>
    <n v="7.0000000000000007E-2"/>
    <n v="165.5318"/>
  </r>
  <r>
    <n v="481"/>
    <d v="2025-05-10T00:00:00"/>
    <x v="1"/>
    <x v="4"/>
    <x v="2"/>
    <x v="0"/>
    <x v="3"/>
    <n v="3980"/>
    <n v="4473.1099999999997"/>
    <n v="7.0000000000000007E-2"/>
    <n v="313.11770000000001"/>
  </r>
  <r>
    <n v="482"/>
    <d v="2025-05-11T00:00:00"/>
    <x v="1"/>
    <x v="4"/>
    <x v="2"/>
    <x v="6"/>
    <x v="3"/>
    <n v="3855"/>
    <n v="3959.24"/>
    <n v="7.0000000000000007E-2"/>
    <n v="277.14679999999998"/>
  </r>
  <r>
    <n v="483"/>
    <d v="2025-05-12T00:00:00"/>
    <x v="1"/>
    <x v="4"/>
    <x v="1"/>
    <x v="1"/>
    <x v="0"/>
    <n v="2792"/>
    <n v="2585.62"/>
    <n v="0.05"/>
    <n v="129.28100000000001"/>
  </r>
  <r>
    <n v="484"/>
    <d v="2025-05-13T00:00:00"/>
    <x v="1"/>
    <x v="4"/>
    <x v="2"/>
    <x v="1"/>
    <x v="0"/>
    <n v="2791"/>
    <n v="1760.31"/>
    <n v="7.0000000000000007E-2"/>
    <n v="123.2217"/>
  </r>
  <r>
    <n v="485"/>
    <d v="2025-05-14T00:00:00"/>
    <x v="1"/>
    <x v="4"/>
    <x v="0"/>
    <x v="5"/>
    <x v="2"/>
    <n v="3809"/>
    <n v="5281.58"/>
    <n v="0.04"/>
    <n v="211.2632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5509F-773D-4CCF-ABE3-389B793BD2DB}" name="Tabela dinâmica32" cacheId="1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 rowHeaderCaption="Vendedores">
  <location ref="E19:F27" firstHeaderRow="1" firstDataRow="1" firstDataCol="1"/>
  <pivotFields count="12">
    <pivotField showAll="0"/>
    <pivotField numFmtId="14" showAll="0"/>
    <pivotField showAll="0">
      <items count="3">
        <item x="0"/>
        <item x="1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axis="axisRow" showAll="0">
      <items count="9">
        <item x="4"/>
        <item x="1"/>
        <item x="2"/>
        <item x="6"/>
        <item x="0"/>
        <item x="5"/>
        <item x="3"/>
        <item m="1" x="7"/>
        <item t="default"/>
      </items>
    </pivotField>
    <pivotField showAll="0">
      <items count="6">
        <item x="2"/>
        <item x="0"/>
        <item x="1"/>
        <item x="3"/>
        <item m="1" x="4"/>
        <item t="default"/>
      </items>
    </pivotField>
    <pivotField numFmtId="164" showAll="0"/>
    <pivotField numFmtId="164" showAll="0"/>
    <pivotField numFmtId="10" showAll="0"/>
    <pivotField dataField="1" numFmtId="164" showAll="0"/>
    <pivotField dragToRow="0" dragToCol="0" dragToPage="0"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_Premiação" fld="10" baseField="0" baseItem="0" numFmtId="164"/>
  </dataFields>
  <chartFormats count="1">
    <chartFormat chart="3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AB53E-AF32-41C3-BEC0-123DA64FBDBA}" name="Tabela dinâmica25" cacheId="1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UF">
  <location ref="E12:F17" firstHeaderRow="1" firstDataRow="1" firstDataCol="1"/>
  <pivotFields count="12">
    <pivotField showAll="0"/>
    <pivotField numFmtId="14" showAll="0"/>
    <pivotField showAll="0">
      <items count="3">
        <item x="0"/>
        <item x="1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showAll="0"/>
    <pivotField axis="axisRow" showAll="0">
      <items count="6">
        <item x="2"/>
        <item x="0"/>
        <item x="1"/>
        <item x="3"/>
        <item m="1" x="4"/>
        <item t="default"/>
      </items>
    </pivotField>
    <pivotField numFmtId="164" showAll="0"/>
    <pivotField dataField="1" numFmtId="164" showAll="0"/>
    <pivotField numFmtId="10" showAll="0"/>
    <pivotField numFmtId="164" showAll="0"/>
    <pivotField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Valor de Vendas por Região" fld="8" baseField="6" baseItem="0" numFmtId="164"/>
  </dataFields>
  <chartFormats count="5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79C55-59EA-475C-A6F3-773228098AA5}" name="Tabela dinâmica24" cacheId="1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:C3" firstHeaderRow="1" firstDataRow="1" firstDataCol="0"/>
  <pivotFields count="12">
    <pivotField showAll="0"/>
    <pivotField numFmtId="14" showAll="0"/>
    <pivotField showAll="0">
      <items count="3">
        <item x="0"/>
        <item x="1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showAll="0"/>
    <pivotField showAll="0">
      <items count="6">
        <item x="2"/>
        <item x="0"/>
        <item x="1"/>
        <item x="3"/>
        <item m="1" x="4"/>
        <item t="default"/>
      </items>
    </pivotField>
    <pivotField dataField="1" numFmtId="164" showAll="0"/>
    <pivotField numFmtId="164" showAll="0"/>
    <pivotField numFmtId="10" showAll="0"/>
    <pivotField numFmtId="164" showAll="0"/>
    <pivotField dragToRow="0" dragToCol="0" dragToPage="0" showAll="0" defaultSubtotal="0"/>
  </pivotFields>
  <rowItems count="1">
    <i/>
  </rowItems>
  <colItems count="1">
    <i/>
  </colItems>
  <dataFields count="1">
    <dataField name="Valor Total da Meta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03564-325F-4CF3-A6FD-8E5F91F4D15F}" name="Tabela dinâmica23" cacheId="1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 rowHeaderCaption="Vendedores">
  <location ref="A5:B13" firstHeaderRow="1" firstDataRow="1" firstDataCol="1"/>
  <pivotFields count="12">
    <pivotField showAll="0"/>
    <pivotField numFmtId="14" showAll="0"/>
    <pivotField showAll="0">
      <items count="3">
        <item x="0"/>
        <item x="1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axis="axisRow" showAll="0">
      <items count="9">
        <item x="4"/>
        <item x="1"/>
        <item x="2"/>
        <item x="6"/>
        <item x="0"/>
        <item x="5"/>
        <item x="3"/>
        <item m="1" x="7"/>
        <item t="default"/>
      </items>
    </pivotField>
    <pivotField showAll="0">
      <items count="6">
        <item x="2"/>
        <item x="0"/>
        <item x="1"/>
        <item x="3"/>
        <item m="1" x="4"/>
        <item t="default"/>
      </items>
    </pivotField>
    <pivotField numFmtId="164" showAll="0"/>
    <pivotField dataField="1" numFmtId="164" showAll="0"/>
    <pivotField numFmtId="10" showAll="0"/>
    <pivotField numFmtId="164" showAll="0"/>
    <pivotField dragToRow="0" dragToCol="0" dragToPage="0"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Vendas Realizadas" fld="8" baseField="5" baseItem="0" numFmtId="164"/>
  </dataFields>
  <chartFormats count="1">
    <chartFormat chart="2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FA3CE-E42C-4EAD-93B5-ED67993F9C60}" name="Tabela dinâmica20" cacheId="1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:G3" firstHeaderRow="0" firstDataRow="1" firstDataCol="0"/>
  <pivotFields count="12">
    <pivotField showAll="0"/>
    <pivotField numFmtId="14" showAll="0"/>
    <pivotField showAll="0">
      <items count="3">
        <item x="0"/>
        <item x="1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showAll="0"/>
    <pivotField showAll="0">
      <items count="6">
        <item x="2"/>
        <item x="0"/>
        <item x="1"/>
        <item x="3"/>
        <item m="1" x="4"/>
        <item t="default"/>
      </items>
    </pivotField>
    <pivotField dataField="1" numFmtId="164" showAll="0"/>
    <pivotField dataField="1" numFmtId="164" showAll="0"/>
    <pivotField numFmtId="10" showAll="0"/>
    <pivotField numFmtId="164" showAll="0"/>
    <pivotField dataField="1"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eta Total" fld="7" baseField="0" baseItem="1" numFmtId="164"/>
    <dataField name="Venda Total" fld="8" baseField="0" baseItem="1" numFmtId="164"/>
    <dataField name="Porcentagem de Atingimento %" fld="11" baseField="0" baseItem="2" numFmtId="10"/>
  </dataFields>
  <formats count="1">
    <format dxfId="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A58DB-B08A-4D9C-B09A-8EE9982BBEB4}" name="Tabela dinâmica18" cacheId="1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A3" firstHeaderRow="1" firstDataRow="1" firstDataCol="0"/>
  <pivotFields count="12">
    <pivotField showAll="0"/>
    <pivotField numFmtId="14" showAll="0"/>
    <pivotField showAll="0">
      <items count="3">
        <item x="0"/>
        <item x="1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showAll="0"/>
    <pivotField showAll="0">
      <items count="6">
        <item x="2"/>
        <item x="0"/>
        <item x="1"/>
        <item x="3"/>
        <item m="1" x="4"/>
        <item t="default"/>
      </items>
    </pivotField>
    <pivotField numFmtId="164" showAll="0"/>
    <pivotField dataField="1" numFmtId="164" showAll="0"/>
    <pivotField numFmtId="10" showAll="0"/>
    <pivotField numFmtId="164" showAll="0"/>
    <pivotField dragToRow="0" dragToCol="0" dragToPage="0" showAll="0" defaultSubtotal="0"/>
  </pivotFields>
  <rowItems count="1">
    <i/>
  </rowItems>
  <colItems count="1">
    <i/>
  </colItems>
  <dataFields count="1">
    <dataField name="Total de Vendas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2B529-2B28-41AB-B548-A8B96D360555}" name="Tabela dinâmica17" cacheId="1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Campanhas">
  <location ref="E5:F9" firstHeaderRow="1" firstDataRow="1" firstDataCol="1"/>
  <pivotFields count="12">
    <pivotField showAll="0"/>
    <pivotField numFmtId="14" showAll="0"/>
    <pivotField showAll="0">
      <items count="3">
        <item x="0"/>
        <item x="1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axis="axisRow" showAll="0">
      <items count="5">
        <item x="1"/>
        <item x="2"/>
        <item x="0"/>
        <item m="1" x="3"/>
        <item t="default"/>
      </items>
    </pivotField>
    <pivotField showAll="0"/>
    <pivotField showAll="0">
      <items count="6">
        <item x="2"/>
        <item x="0"/>
        <item x="1"/>
        <item x="3"/>
        <item m="1" x="4"/>
        <item t="default"/>
      </items>
    </pivotField>
    <pivotField numFmtId="164" showAll="0"/>
    <pivotField dataField="1" numFmtId="164" showAll="0"/>
    <pivotField numFmtId="10" showAll="0"/>
    <pivotField numFmtId="164" showAl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Valor de Vendas por Campanha" fld="8" baseField="4" baseItem="0" numFmtId="16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092BE0EA-E7E5-4CE7-A871-1217D3C5F355}" autoFormatId="16" applyNumberFormats="0" applyBorderFormats="0" applyFontFormats="0" applyPatternFormats="0" applyAlignmentFormats="0" applyWidthHeightFormats="0">
  <queryTableRefresh nextId="9">
    <queryTableFields count="8">
      <queryTableField id="1" name="ID_Venda" tableColumnId="1"/>
      <queryTableField id="2" name="Data" tableColumnId="2"/>
      <queryTableField id="3" name="Campanha" tableColumnId="3"/>
      <queryTableField id="4" name="Vendedor" tableColumnId="4"/>
      <queryTableField id="5" name="Regiao" tableColumnId="5"/>
      <queryTableField id="6" name="Meta" tableColumnId="6"/>
      <queryTableField id="7" name="Vendas_Realizadas" tableColumnId="7"/>
      <queryTableField id="8" name="Comissao_Percentual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5" xr16:uid="{1FBC6A8A-619B-41F9-946B-CF2260BFB572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Data" tableColumnId="2"/>
      <queryTableField id="3" name="Ano" tableColumnId="3"/>
      <queryTableField id="4" name="Mês" tableColumnId="4"/>
      <queryTableField id="5" name="Campanha" tableColumnId="5"/>
      <queryTableField id="6" name="Vendedor" tableColumnId="6"/>
      <queryTableField id="7" name="Regiâo" tableColumnId="7"/>
      <queryTableField id="8" name="Meta" tableColumnId="8"/>
      <queryTableField id="9" name="Vendas_Realizadas" tableColumnId="9"/>
      <queryTableField id="10" name="Porcentagem_comissão" tableColumnId="10"/>
      <queryTableField id="11" name="Valor_Premiação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F64C9AD4-E151-49F4-980A-8AD31BB00477}" sourceName="Ano">
  <pivotTables>
    <pivotTable tabId="16" name="Tabela dinâmica17"/>
    <pivotTable tabId="16" name="Tabela dinâmica18"/>
    <pivotTable tabId="16" name="Tabela dinâmica20"/>
    <pivotTable tabId="16" name="Tabela dinâmica24"/>
    <pivotTable tabId="16" name="Tabela dinâmica23"/>
    <pivotTable tabId="16" name="Tabela dinâmica25"/>
    <pivotTable tabId="16" name="Tabela dinâmica32"/>
  </pivotTables>
  <data>
    <tabular pivotCacheId="101635840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52CC1D70-064A-4009-B606-3BCC2E74EEDC}" sourceName="Mês">
  <pivotTables>
    <pivotTable tabId="16" name="Tabela dinâmica17"/>
    <pivotTable tabId="16" name="Tabela dinâmica18"/>
    <pivotTable tabId="16" name="Tabela dinâmica20"/>
    <pivotTable tabId="16" name="Tabela dinâmica24"/>
    <pivotTable tabId="16" name="Tabela dinâmica23"/>
    <pivotTable tabId="16" name="Tabela dinâmica25"/>
    <pivotTable tabId="16" name="Tabela dinâmica32"/>
  </pivotTables>
  <data>
    <tabular pivotCacheId="101635840">
      <items count="1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âo" xr10:uid="{5A88EB66-B5C9-46F5-A0BC-C5CF3B2CC986}" sourceName="Regiâo">
  <pivotTables>
    <pivotTable tabId="16" name="Tabela dinâmica17"/>
    <pivotTable tabId="16" name="Tabela dinâmica18"/>
    <pivotTable tabId="16" name="Tabela dinâmica20"/>
    <pivotTable tabId="16" name="Tabela dinâmica24"/>
    <pivotTable tabId="16" name="Tabela dinâmica23"/>
    <pivotTable tabId="16" name="Tabela dinâmica25"/>
    <pivotTable tabId="16" name="Tabela dinâmica32"/>
  </pivotTables>
  <data>
    <tabular pivotCacheId="101635840">
      <items count="5">
        <i x="2" s="1"/>
        <i x="0" s="1"/>
        <i x="1" s="1"/>
        <i x="3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1D67B36E-27FC-4DAF-BEC8-63EB577CA117}" cache="SegmentaçãodeDados_Ano" caption="Ano" rowHeight="247650"/>
  <slicer name="Mês" xr10:uid="{D9927899-49CF-4353-916B-876A03CFAB6F}" cache="SegmentaçãodeDados_Mês" caption="Mês" startItem="5" rowHeight="247650"/>
  <slicer name="Regiâo" xr10:uid="{67F489C9-B872-4E3B-A4DA-3241DE6B36E4}" cache="SegmentaçãodeDados_Regiâo" caption="Regiâo" startItem="1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2" xr10:uid="{6800A8CA-6082-4F66-BD23-913D721F84D4}" cache="SegmentaçãodeDados_Ano" caption="Ano" rowHeight="247650"/>
  <slicer name="Mês 1" xr10:uid="{66C9E703-4A9F-4871-B32C-BE4E71382195}" cache="SegmentaçãodeDados_Mês" caption="Mês" rowHeight="247650"/>
  <slicer name="Regiâo 1" xr10:uid="{6D769A82-14AF-4274-A7D4-FAA3ECBDE45A}" cache="SegmentaçãodeDados_Regiâo" caption="Regiâo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FE15D6-8060-4D26-A23F-791D4CAC1443}" name="dados_campanhas__2" displayName="dados_campanhas__2" ref="A1:H506" tableType="queryTable" totalsRowShown="0">
  <autoFilter ref="A1:H506" xr:uid="{48FE15D6-8060-4D26-A23F-791D4CAC1443}"/>
  <tableColumns count="8">
    <tableColumn id="1" xr3:uid="{8D9BA76F-D463-4EF9-A652-6D4BBAA71223}" uniqueName="1" name="ID_Venda" queryTableFieldId="1"/>
    <tableColumn id="2" xr3:uid="{888D09B3-0AD0-4075-9A86-A6E6D60B5051}" uniqueName="2" name="Data" queryTableFieldId="2" dataDxfId="26"/>
    <tableColumn id="3" xr3:uid="{3454E059-19B3-4318-9BF9-A02547C1B42E}" uniqueName="3" name="Campanha" queryTableFieldId="3" dataDxfId="25"/>
    <tableColumn id="4" xr3:uid="{5DD2AA60-9804-4E3A-89D3-D720AA793D76}" uniqueName="4" name="Vendedor" queryTableFieldId="4" dataDxfId="24"/>
    <tableColumn id="5" xr3:uid="{AE806B2F-CD7E-4057-B4BF-ACDF8F543D13}" uniqueName="5" name="Regiao" queryTableFieldId="5" dataDxfId="23"/>
    <tableColumn id="6" xr3:uid="{F22A29C6-3475-407D-B8D1-7C58DA95430F}" uniqueName="6" name="Meta" queryTableFieldId="6"/>
    <tableColumn id="7" xr3:uid="{44E9A104-7B70-45BB-AA6E-ADA67C9B90AF}" uniqueName="7" name="Vendas_Realizadas" queryTableFieldId="7"/>
    <tableColumn id="8" xr3:uid="{A0820902-CA71-46BF-8257-AA9F30FA0B6F}" uniqueName="8" name="Comissao_Percentual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0A744E-FEBA-4547-9102-DFDAEF460901}" name="Tabela3_6" displayName="Tabela3_6" ref="A1:K486" tableType="queryTable" totalsRowShown="0">
  <autoFilter ref="A1:K486" xr:uid="{E10A744E-FEBA-4547-9102-DFDAEF460901}"/>
  <tableColumns count="11">
    <tableColumn id="1" xr3:uid="{09FE0D6E-7B6F-4EF8-AD14-FB9528B0A454}" uniqueName="1" name="ID" queryTableFieldId="1"/>
    <tableColumn id="2" xr3:uid="{E519B2F9-1C70-4C08-B5E5-CEAF3065C930}" uniqueName="2" name="Data" queryTableFieldId="2" dataDxfId="29"/>
    <tableColumn id="3" xr3:uid="{D0F898B8-35B1-489A-8A63-5B822BC634BA}" uniqueName="3" name="Ano" queryTableFieldId="3"/>
    <tableColumn id="4" xr3:uid="{0BF6F9B2-69C7-4ED0-A19A-F6560BE67DAB}" uniqueName="4" name="Mês" queryTableFieldId="4" dataDxfId="35"/>
    <tableColumn id="5" xr3:uid="{E257C197-E61D-4B0A-950C-0F5D901ABA74}" uniqueName="5" name="Campanha" queryTableFieldId="5" dataDxfId="27"/>
    <tableColumn id="6" xr3:uid="{56CC82DF-C1D3-47FF-B26E-EC920F232C16}" uniqueName="6" name="Vendedor" queryTableFieldId="6" dataDxfId="34"/>
    <tableColumn id="7" xr3:uid="{4A9C4784-07FF-4CBC-B560-178D85D2084B}" uniqueName="7" name="Regiâo" queryTableFieldId="7" dataDxfId="33"/>
    <tableColumn id="8" xr3:uid="{D0E52F5B-B07C-4D0C-A940-2C6E93C34FCE}" uniqueName="8" name="Meta" queryTableFieldId="8" dataDxfId="28"/>
    <tableColumn id="9" xr3:uid="{E8C75333-1862-4FDA-9918-5D63FBF19F03}" uniqueName="9" name="Vendas_Realizadas" queryTableFieldId="9" dataDxfId="30"/>
    <tableColumn id="10" xr3:uid="{EF15697F-3541-4915-938B-9A4377358C15}" uniqueName="10" name="Porcentagem_comissão" queryTableFieldId="10" dataDxfId="32"/>
    <tableColumn id="11" xr3:uid="{6D7FED33-78C8-4FDB-800F-FBB8B2CD3A8A}" uniqueName="11" name="Valor_Premiação" queryTableFieldId="11" dataDxf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FD48-3553-49C9-9618-F77939EB88BA}">
  <dimension ref="A1:H506"/>
  <sheetViews>
    <sheetView topLeftCell="A423" workbookViewId="0">
      <selection activeCell="G452" sqref="G452"/>
    </sheetView>
  </sheetViews>
  <sheetFormatPr defaultRowHeight="14.4" x14ac:dyDescent="0.3"/>
  <cols>
    <col min="1" max="1" width="11" bestFit="1" customWidth="1"/>
    <col min="2" max="2" width="10.33203125" bestFit="1" customWidth="1"/>
    <col min="3" max="3" width="12.21875" bestFit="1" customWidth="1"/>
    <col min="4" max="4" width="11.21875" bestFit="1" customWidth="1"/>
    <col min="5" max="5" width="8.77734375" bestFit="1" customWidth="1"/>
    <col min="6" max="6" width="7.33203125" bestFit="1" customWidth="1"/>
    <col min="7" max="7" width="19.44140625" bestFit="1" customWidth="1"/>
    <col min="8" max="8" width="21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45292</v>
      </c>
      <c r="C2" s="2" t="s">
        <v>8</v>
      </c>
      <c r="D2" s="2" t="s">
        <v>9</v>
      </c>
      <c r="E2" s="2" t="s">
        <v>10</v>
      </c>
      <c r="F2">
        <v>4006</v>
      </c>
      <c r="G2">
        <v>5465.62</v>
      </c>
      <c r="H2">
        <v>0.04</v>
      </c>
    </row>
    <row r="3" spans="1:8" x14ac:dyDescent="0.3">
      <c r="A3">
        <v>2</v>
      </c>
      <c r="B3" s="1">
        <v>45293</v>
      </c>
      <c r="C3" s="2" t="s">
        <v>11</v>
      </c>
      <c r="D3" s="2" t="s">
        <v>9</v>
      </c>
      <c r="E3" s="2" t="s">
        <v>10</v>
      </c>
      <c r="F3">
        <v>4490</v>
      </c>
      <c r="G3">
        <v>4369.71</v>
      </c>
      <c r="H3">
        <v>0.05</v>
      </c>
    </row>
    <row r="4" spans="1:8" x14ac:dyDescent="0.3">
      <c r="A4">
        <v>3</v>
      </c>
      <c r="B4" s="1">
        <v>45294</v>
      </c>
      <c r="C4" s="2" t="s">
        <v>8</v>
      </c>
      <c r="D4" s="2" t="s">
        <v>12</v>
      </c>
      <c r="E4" s="2" t="s">
        <v>10</v>
      </c>
      <c r="F4">
        <v>3790</v>
      </c>
      <c r="G4">
        <v>5564.45</v>
      </c>
      <c r="H4">
        <v>0.04</v>
      </c>
    </row>
    <row r="5" spans="1:8" x14ac:dyDescent="0.3">
      <c r="A5">
        <v>4</v>
      </c>
      <c r="B5" s="1">
        <v>45295</v>
      </c>
      <c r="C5" s="2" t="s">
        <v>8</v>
      </c>
      <c r="D5" s="2" t="s">
        <v>9</v>
      </c>
      <c r="E5" s="2" t="s">
        <v>13</v>
      </c>
      <c r="F5">
        <v>2327</v>
      </c>
      <c r="G5">
        <v>1595.22</v>
      </c>
      <c r="H5">
        <v>0.04</v>
      </c>
    </row>
    <row r="6" spans="1:8" x14ac:dyDescent="0.3">
      <c r="A6">
        <v>5</v>
      </c>
      <c r="B6" s="1">
        <v>45296</v>
      </c>
      <c r="C6" s="2" t="s">
        <v>11</v>
      </c>
      <c r="D6" s="2" t="s">
        <v>14</v>
      </c>
      <c r="E6" s="2" t="s">
        <v>10</v>
      </c>
      <c r="F6">
        <v>4808</v>
      </c>
      <c r="G6">
        <v>6580.34</v>
      </c>
      <c r="H6">
        <v>0.05</v>
      </c>
    </row>
    <row r="7" spans="1:8" x14ac:dyDescent="0.3">
      <c r="A7">
        <v>6</v>
      </c>
      <c r="B7" s="1">
        <v>45297</v>
      </c>
      <c r="C7" s="2" t="s">
        <v>11</v>
      </c>
      <c r="D7" s="2" t="s">
        <v>15</v>
      </c>
      <c r="E7" s="2" t="s">
        <v>10</v>
      </c>
      <c r="F7">
        <v>4626</v>
      </c>
      <c r="G7">
        <v>5905.54</v>
      </c>
      <c r="H7">
        <v>0.05</v>
      </c>
    </row>
    <row r="8" spans="1:8" x14ac:dyDescent="0.3">
      <c r="A8">
        <v>7</v>
      </c>
      <c r="B8" s="1">
        <v>45298</v>
      </c>
      <c r="C8" s="2" t="s">
        <v>8</v>
      </c>
      <c r="D8" s="2" t="s">
        <v>15</v>
      </c>
      <c r="E8" s="2" t="s">
        <v>16</v>
      </c>
      <c r="F8">
        <v>3287</v>
      </c>
      <c r="G8">
        <v>4177.5200000000004</v>
      </c>
      <c r="H8">
        <v>0.04</v>
      </c>
    </row>
    <row r="9" spans="1:8" x14ac:dyDescent="0.3">
      <c r="A9">
        <v>8</v>
      </c>
      <c r="B9" s="1">
        <v>45299</v>
      </c>
      <c r="C9" s="2" t="s">
        <v>17</v>
      </c>
      <c r="D9" s="2" t="s">
        <v>18</v>
      </c>
      <c r="E9" s="2" t="s">
        <v>19</v>
      </c>
      <c r="F9">
        <v>4143</v>
      </c>
      <c r="G9">
        <v>5571.44</v>
      </c>
      <c r="H9">
        <v>7.0000000000000007E-2</v>
      </c>
    </row>
    <row r="10" spans="1:8" x14ac:dyDescent="0.3">
      <c r="A10">
        <v>9</v>
      </c>
      <c r="B10" s="1">
        <v>45300</v>
      </c>
      <c r="C10" s="2" t="s">
        <v>8</v>
      </c>
      <c r="D10" s="2" t="s">
        <v>20</v>
      </c>
      <c r="E10" s="2" t="s">
        <v>13</v>
      </c>
      <c r="F10">
        <v>3111</v>
      </c>
      <c r="H10">
        <v>0.04</v>
      </c>
    </row>
    <row r="11" spans="1:8" x14ac:dyDescent="0.3">
      <c r="A11">
        <v>10</v>
      </c>
      <c r="B11" s="1">
        <v>45301</v>
      </c>
      <c r="C11" s="2" t="s">
        <v>8</v>
      </c>
      <c r="D11" s="2" t="s">
        <v>9</v>
      </c>
      <c r="E11" s="2" t="s">
        <v>13</v>
      </c>
      <c r="F11">
        <v>3311</v>
      </c>
      <c r="G11">
        <v>3728.92</v>
      </c>
      <c r="H11">
        <v>0.04</v>
      </c>
    </row>
    <row r="12" spans="1:8" x14ac:dyDescent="0.3">
      <c r="A12">
        <v>11</v>
      </c>
      <c r="B12" s="1">
        <v>45302</v>
      </c>
      <c r="C12" s="2" t="s">
        <v>8</v>
      </c>
      <c r="D12" s="2" t="s">
        <v>14</v>
      </c>
      <c r="E12" s="2" t="s">
        <v>13</v>
      </c>
      <c r="F12">
        <v>4861</v>
      </c>
      <c r="G12">
        <v>3068.48</v>
      </c>
      <c r="H12">
        <v>0.04</v>
      </c>
    </row>
    <row r="13" spans="1:8" x14ac:dyDescent="0.3">
      <c r="A13">
        <v>12</v>
      </c>
      <c r="B13" s="1">
        <v>45303</v>
      </c>
      <c r="C13" s="2" t="s">
        <v>8</v>
      </c>
      <c r="D13" s="2" t="s">
        <v>18</v>
      </c>
      <c r="E13" s="2" t="s">
        <v>10</v>
      </c>
      <c r="F13">
        <v>4538</v>
      </c>
      <c r="G13">
        <v>2416.6</v>
      </c>
      <c r="H13">
        <v>0.04</v>
      </c>
    </row>
    <row r="14" spans="1:8" x14ac:dyDescent="0.3">
      <c r="A14">
        <v>13</v>
      </c>
      <c r="B14" s="1">
        <v>45304</v>
      </c>
      <c r="C14" s="2" t="s">
        <v>11</v>
      </c>
      <c r="D14" s="2" t="s">
        <v>12</v>
      </c>
      <c r="E14" s="2" t="s">
        <v>10</v>
      </c>
      <c r="F14">
        <v>2451</v>
      </c>
      <c r="G14">
        <v>3482.5</v>
      </c>
      <c r="H14">
        <v>0.05</v>
      </c>
    </row>
    <row r="15" spans="1:8" x14ac:dyDescent="0.3">
      <c r="A15">
        <v>14</v>
      </c>
      <c r="B15" s="1">
        <v>45305</v>
      </c>
      <c r="C15" s="2" t="s">
        <v>8</v>
      </c>
      <c r="D15" s="2" t="s">
        <v>18</v>
      </c>
      <c r="E15" s="2" t="s">
        <v>10</v>
      </c>
      <c r="F15">
        <v>3523</v>
      </c>
      <c r="G15">
        <v>3933.96</v>
      </c>
      <c r="H15">
        <v>0.04</v>
      </c>
    </row>
    <row r="16" spans="1:8" x14ac:dyDescent="0.3">
      <c r="A16">
        <v>15</v>
      </c>
      <c r="B16" s="1">
        <v>45306</v>
      </c>
      <c r="C16" s="2" t="s">
        <v>17</v>
      </c>
      <c r="D16" s="2" t="s">
        <v>18</v>
      </c>
      <c r="E16" s="2" t="s">
        <v>16</v>
      </c>
      <c r="F16">
        <v>2164</v>
      </c>
      <c r="G16">
        <v>2805.71</v>
      </c>
      <c r="H16">
        <v>7.0000000000000007E-2</v>
      </c>
    </row>
    <row r="17" spans="1:8" x14ac:dyDescent="0.3">
      <c r="A17">
        <v>16</v>
      </c>
      <c r="B17" s="1">
        <v>45307</v>
      </c>
      <c r="C17" s="2" t="s">
        <v>11</v>
      </c>
      <c r="D17" s="2" t="s">
        <v>9</v>
      </c>
      <c r="E17" s="2" t="s">
        <v>19</v>
      </c>
      <c r="F17">
        <v>2181</v>
      </c>
      <c r="G17">
        <v>2140.6999999999998</v>
      </c>
      <c r="H17">
        <v>0.05</v>
      </c>
    </row>
    <row r="18" spans="1:8" x14ac:dyDescent="0.3">
      <c r="A18">
        <v>17</v>
      </c>
      <c r="B18" s="1">
        <v>45308</v>
      </c>
      <c r="C18" s="2" t="s">
        <v>17</v>
      </c>
      <c r="D18" s="2" t="s">
        <v>12</v>
      </c>
      <c r="E18" s="2" t="s">
        <v>10</v>
      </c>
      <c r="F18">
        <v>4516</v>
      </c>
      <c r="G18">
        <v>2787.76</v>
      </c>
      <c r="H18">
        <v>7.0000000000000007E-2</v>
      </c>
    </row>
    <row r="19" spans="1:8" x14ac:dyDescent="0.3">
      <c r="A19">
        <v>18</v>
      </c>
      <c r="B19" s="1">
        <v>45309</v>
      </c>
      <c r="C19" s="2" t="s">
        <v>17</v>
      </c>
      <c r="D19" s="2" t="s">
        <v>18</v>
      </c>
      <c r="E19" s="2" t="s">
        <v>19</v>
      </c>
      <c r="F19">
        <v>2909</v>
      </c>
      <c r="G19">
        <v>1818.67</v>
      </c>
      <c r="H19">
        <v>7.0000000000000007E-2</v>
      </c>
    </row>
    <row r="20" spans="1:8" x14ac:dyDescent="0.3">
      <c r="A20">
        <v>19</v>
      </c>
      <c r="B20" s="1">
        <v>45310</v>
      </c>
      <c r="C20" s="2" t="s">
        <v>17</v>
      </c>
      <c r="D20" s="2" t="s">
        <v>14</v>
      </c>
      <c r="E20" s="2" t="s">
        <v>16</v>
      </c>
      <c r="F20">
        <v>4782</v>
      </c>
      <c r="G20">
        <v>5669.37</v>
      </c>
      <c r="H20">
        <v>7.0000000000000007E-2</v>
      </c>
    </row>
    <row r="21" spans="1:8" x14ac:dyDescent="0.3">
      <c r="A21">
        <v>20</v>
      </c>
      <c r="B21" s="1">
        <v>45311</v>
      </c>
      <c r="C21" s="2" t="s">
        <v>17</v>
      </c>
      <c r="D21" s="2" t="s">
        <v>14</v>
      </c>
      <c r="E21" s="2" t="s">
        <v>13</v>
      </c>
      <c r="F21">
        <v>2822</v>
      </c>
      <c r="G21">
        <v>2625.32</v>
      </c>
      <c r="H21">
        <v>7.0000000000000007E-2</v>
      </c>
    </row>
    <row r="22" spans="1:8" x14ac:dyDescent="0.3">
      <c r="A22">
        <v>21</v>
      </c>
      <c r="B22" s="1">
        <v>45312</v>
      </c>
      <c r="C22" s="2" t="s">
        <v>11</v>
      </c>
      <c r="D22" s="2" t="s">
        <v>15</v>
      </c>
      <c r="E22" s="2" t="s">
        <v>10</v>
      </c>
      <c r="F22">
        <v>2943</v>
      </c>
      <c r="G22">
        <v>2061.64</v>
      </c>
      <c r="H22">
        <v>0.05</v>
      </c>
    </row>
    <row r="23" spans="1:8" x14ac:dyDescent="0.3">
      <c r="A23">
        <v>22</v>
      </c>
      <c r="B23" s="1">
        <v>45313</v>
      </c>
      <c r="C23" s="2" t="s">
        <v>11</v>
      </c>
      <c r="D23" s="2" t="s">
        <v>12</v>
      </c>
      <c r="E23" s="2" t="s">
        <v>19</v>
      </c>
      <c r="F23">
        <v>4001</v>
      </c>
      <c r="G23">
        <v>3967.37</v>
      </c>
      <c r="H23">
        <v>0.05</v>
      </c>
    </row>
    <row r="24" spans="1:8" x14ac:dyDescent="0.3">
      <c r="A24">
        <v>23</v>
      </c>
      <c r="B24" s="1">
        <v>45314</v>
      </c>
      <c r="C24" s="2" t="s">
        <v>17</v>
      </c>
      <c r="D24" s="2" t="s">
        <v>12</v>
      </c>
      <c r="E24" s="2" t="s">
        <v>19</v>
      </c>
      <c r="F24">
        <v>4054</v>
      </c>
      <c r="G24">
        <v>2287.3000000000002</v>
      </c>
      <c r="H24">
        <v>7.0000000000000007E-2</v>
      </c>
    </row>
    <row r="25" spans="1:8" x14ac:dyDescent="0.3">
      <c r="A25">
        <v>24</v>
      </c>
      <c r="B25" s="1">
        <v>45315</v>
      </c>
      <c r="C25" s="2" t="s">
        <v>17</v>
      </c>
      <c r="D25" s="2" t="s">
        <v>15</v>
      </c>
      <c r="E25" s="2" t="s">
        <v>10</v>
      </c>
      <c r="F25">
        <v>2329</v>
      </c>
      <c r="G25">
        <v>2519.91</v>
      </c>
      <c r="H25">
        <v>7.0000000000000007E-2</v>
      </c>
    </row>
    <row r="26" spans="1:8" x14ac:dyDescent="0.3">
      <c r="A26">
        <v>25</v>
      </c>
      <c r="B26" s="1">
        <v>45316</v>
      </c>
      <c r="C26" s="2" t="s">
        <v>11</v>
      </c>
      <c r="D26" s="2" t="s">
        <v>18</v>
      </c>
      <c r="E26" s="2" t="s">
        <v>13</v>
      </c>
      <c r="F26">
        <v>2774</v>
      </c>
      <c r="G26">
        <v>2133.19</v>
      </c>
      <c r="H26">
        <v>0.05</v>
      </c>
    </row>
    <row r="27" spans="1:8" x14ac:dyDescent="0.3">
      <c r="A27">
        <v>26</v>
      </c>
      <c r="B27" s="1">
        <v>45317</v>
      </c>
      <c r="C27" s="2" t="s">
        <v>11</v>
      </c>
      <c r="D27" s="2" t="s">
        <v>12</v>
      </c>
      <c r="E27" s="2" t="s">
        <v>13</v>
      </c>
      <c r="F27">
        <v>4198</v>
      </c>
      <c r="G27">
        <v>5447.15</v>
      </c>
      <c r="H27">
        <v>0.05</v>
      </c>
    </row>
    <row r="28" spans="1:8" x14ac:dyDescent="0.3">
      <c r="A28">
        <v>27</v>
      </c>
      <c r="B28" s="1">
        <v>45318</v>
      </c>
      <c r="C28" s="2" t="s">
        <v>11</v>
      </c>
      <c r="D28" s="2" t="s">
        <v>14</v>
      </c>
      <c r="E28" s="2" t="s">
        <v>13</v>
      </c>
      <c r="F28">
        <v>2146</v>
      </c>
      <c r="G28">
        <v>1739.04</v>
      </c>
      <c r="H28">
        <v>0.05</v>
      </c>
    </row>
    <row r="29" spans="1:8" x14ac:dyDescent="0.3">
      <c r="A29">
        <v>28</v>
      </c>
      <c r="B29" s="1">
        <v>45319</v>
      </c>
      <c r="C29" s="2" t="s">
        <v>8</v>
      </c>
      <c r="D29" s="2" t="s">
        <v>14</v>
      </c>
      <c r="E29" s="2" t="s">
        <v>16</v>
      </c>
      <c r="F29">
        <v>2914</v>
      </c>
      <c r="G29">
        <v>2783.51</v>
      </c>
      <c r="H29">
        <v>0.04</v>
      </c>
    </row>
    <row r="30" spans="1:8" x14ac:dyDescent="0.3">
      <c r="A30">
        <v>29</v>
      </c>
      <c r="B30" s="1">
        <v>45320</v>
      </c>
      <c r="C30" s="2" t="s">
        <v>8</v>
      </c>
      <c r="D30" s="2" t="s">
        <v>9</v>
      </c>
      <c r="E30" s="2" t="s">
        <v>19</v>
      </c>
      <c r="F30">
        <v>3571</v>
      </c>
      <c r="G30">
        <v>1827</v>
      </c>
      <c r="H30">
        <v>0.04</v>
      </c>
    </row>
    <row r="31" spans="1:8" x14ac:dyDescent="0.3">
      <c r="A31">
        <v>30</v>
      </c>
      <c r="B31" s="1">
        <v>45321</v>
      </c>
      <c r="C31" s="2" t="s">
        <v>8</v>
      </c>
      <c r="D31" s="2" t="s">
        <v>12</v>
      </c>
      <c r="E31" s="2" t="s">
        <v>19</v>
      </c>
      <c r="F31">
        <v>3308</v>
      </c>
      <c r="G31">
        <v>1893.65</v>
      </c>
      <c r="H31">
        <v>0.04</v>
      </c>
    </row>
    <row r="32" spans="1:8" x14ac:dyDescent="0.3">
      <c r="A32">
        <v>31</v>
      </c>
      <c r="B32" s="1">
        <v>45322</v>
      </c>
      <c r="C32" s="2" t="s">
        <v>17</v>
      </c>
      <c r="D32" s="2" t="s">
        <v>18</v>
      </c>
      <c r="E32" s="2" t="s">
        <v>19</v>
      </c>
      <c r="F32">
        <v>4747</v>
      </c>
      <c r="G32">
        <v>4236.67</v>
      </c>
      <c r="H32">
        <v>7.0000000000000007E-2</v>
      </c>
    </row>
    <row r="33" spans="1:8" x14ac:dyDescent="0.3">
      <c r="A33">
        <v>32</v>
      </c>
      <c r="B33" s="1">
        <v>45323</v>
      </c>
      <c r="C33" s="2" t="s">
        <v>8</v>
      </c>
      <c r="D33" s="2" t="s">
        <v>15</v>
      </c>
      <c r="E33" s="2" t="s">
        <v>16</v>
      </c>
      <c r="F33">
        <v>2081</v>
      </c>
      <c r="G33">
        <v>2039.25</v>
      </c>
      <c r="H33">
        <v>0.04</v>
      </c>
    </row>
    <row r="34" spans="1:8" x14ac:dyDescent="0.3">
      <c r="A34">
        <v>33</v>
      </c>
      <c r="B34" s="1">
        <v>45324</v>
      </c>
      <c r="C34" s="2" t="s">
        <v>17</v>
      </c>
      <c r="D34" s="2" t="s">
        <v>15</v>
      </c>
      <c r="E34" s="2" t="s">
        <v>19</v>
      </c>
      <c r="F34">
        <v>2513</v>
      </c>
      <c r="G34">
        <v>2764.35</v>
      </c>
      <c r="H34">
        <v>7.0000000000000007E-2</v>
      </c>
    </row>
    <row r="35" spans="1:8" x14ac:dyDescent="0.3">
      <c r="A35">
        <v>34</v>
      </c>
      <c r="B35" s="1">
        <v>45325</v>
      </c>
      <c r="C35" s="2" t="s">
        <v>17</v>
      </c>
      <c r="D35" s="2" t="s">
        <v>18</v>
      </c>
      <c r="E35" s="2" t="s">
        <v>16</v>
      </c>
      <c r="F35">
        <v>3920</v>
      </c>
      <c r="G35">
        <v>3103.32</v>
      </c>
      <c r="H35">
        <v>7.0000000000000007E-2</v>
      </c>
    </row>
    <row r="36" spans="1:8" x14ac:dyDescent="0.3">
      <c r="A36">
        <v>35</v>
      </c>
      <c r="B36" s="1">
        <v>45326</v>
      </c>
      <c r="C36" s="2" t="s">
        <v>8</v>
      </c>
      <c r="D36" s="2" t="s">
        <v>20</v>
      </c>
      <c r="E36" s="2" t="s">
        <v>13</v>
      </c>
      <c r="F36">
        <v>4862</v>
      </c>
      <c r="G36">
        <v>5810</v>
      </c>
      <c r="H36">
        <v>0.04</v>
      </c>
    </row>
    <row r="37" spans="1:8" x14ac:dyDescent="0.3">
      <c r="A37">
        <v>36</v>
      </c>
      <c r="B37" s="1">
        <v>45327</v>
      </c>
      <c r="C37" s="2" t="s">
        <v>17</v>
      </c>
      <c r="D37" s="2" t="s">
        <v>21</v>
      </c>
      <c r="E37" s="2" t="s">
        <v>10</v>
      </c>
      <c r="F37">
        <v>4756</v>
      </c>
      <c r="G37">
        <v>6468.74</v>
      </c>
      <c r="H37">
        <v>7.0000000000000007E-2</v>
      </c>
    </row>
    <row r="38" spans="1:8" x14ac:dyDescent="0.3">
      <c r="A38">
        <v>37</v>
      </c>
      <c r="B38" s="1">
        <v>45328</v>
      </c>
      <c r="C38" s="2" t="s">
        <v>8</v>
      </c>
      <c r="D38" s="2" t="s">
        <v>9</v>
      </c>
      <c r="E38" s="2" t="s">
        <v>19</v>
      </c>
      <c r="F38">
        <v>3939</v>
      </c>
      <c r="G38">
        <v>5041.33</v>
      </c>
      <c r="H38">
        <v>0.04</v>
      </c>
    </row>
    <row r="39" spans="1:8" x14ac:dyDescent="0.3">
      <c r="A39">
        <v>38</v>
      </c>
      <c r="B39" s="1">
        <v>45329</v>
      </c>
      <c r="C39" s="2" t="s">
        <v>8</v>
      </c>
      <c r="D39" s="2" t="s">
        <v>15</v>
      </c>
      <c r="E39" s="2" t="s">
        <v>19</v>
      </c>
      <c r="F39">
        <v>2745</v>
      </c>
      <c r="G39">
        <v>1481.25</v>
      </c>
      <c r="H39">
        <v>0.04</v>
      </c>
    </row>
    <row r="40" spans="1:8" x14ac:dyDescent="0.3">
      <c r="A40">
        <v>39</v>
      </c>
      <c r="B40" s="1">
        <v>45330</v>
      </c>
      <c r="C40" s="2" t="s">
        <v>11</v>
      </c>
      <c r="D40" s="2" t="s">
        <v>12</v>
      </c>
      <c r="E40" s="2" t="s">
        <v>13</v>
      </c>
      <c r="F40">
        <v>3409</v>
      </c>
      <c r="G40">
        <v>3342.55</v>
      </c>
      <c r="H40">
        <v>0.05</v>
      </c>
    </row>
    <row r="41" spans="1:8" x14ac:dyDescent="0.3">
      <c r="A41">
        <v>40</v>
      </c>
      <c r="B41" s="1">
        <v>45331</v>
      </c>
      <c r="C41" s="2" t="s">
        <v>8</v>
      </c>
      <c r="D41" s="2" t="s">
        <v>9</v>
      </c>
      <c r="E41" s="2" t="s">
        <v>10</v>
      </c>
      <c r="F41">
        <v>2706</v>
      </c>
      <c r="G41">
        <v>1636.94</v>
      </c>
      <c r="H41">
        <v>0.04</v>
      </c>
    </row>
    <row r="42" spans="1:8" x14ac:dyDescent="0.3">
      <c r="A42">
        <v>41</v>
      </c>
      <c r="B42" s="1">
        <v>45332</v>
      </c>
      <c r="C42" s="2" t="s">
        <v>11</v>
      </c>
      <c r="D42" s="2" t="s">
        <v>12</v>
      </c>
      <c r="E42" s="2" t="s">
        <v>16</v>
      </c>
      <c r="F42">
        <v>2470</v>
      </c>
      <c r="G42">
        <v>1832.85</v>
      </c>
      <c r="H42">
        <v>0.05</v>
      </c>
    </row>
    <row r="43" spans="1:8" x14ac:dyDescent="0.3">
      <c r="A43">
        <v>42</v>
      </c>
      <c r="B43" s="1">
        <v>45333</v>
      </c>
      <c r="C43" s="2" t="s">
        <v>8</v>
      </c>
      <c r="D43" s="2" t="s">
        <v>20</v>
      </c>
      <c r="E43" s="2" t="s">
        <v>10</v>
      </c>
      <c r="F43">
        <v>2395</v>
      </c>
      <c r="G43">
        <v>3560.56</v>
      </c>
      <c r="H43">
        <v>0.04</v>
      </c>
    </row>
    <row r="44" spans="1:8" x14ac:dyDescent="0.3">
      <c r="A44">
        <v>43</v>
      </c>
      <c r="B44" s="1">
        <v>45334</v>
      </c>
      <c r="C44" s="2" t="s">
        <v>8</v>
      </c>
      <c r="D44" s="2" t="s">
        <v>14</v>
      </c>
      <c r="E44" s="2" t="s">
        <v>13</v>
      </c>
      <c r="F44">
        <v>3555</v>
      </c>
      <c r="G44">
        <v>2284.0700000000002</v>
      </c>
      <c r="H44">
        <v>0.04</v>
      </c>
    </row>
    <row r="45" spans="1:8" x14ac:dyDescent="0.3">
      <c r="A45">
        <v>44</v>
      </c>
      <c r="B45" s="1">
        <v>45335</v>
      </c>
      <c r="C45" s="2" t="s">
        <v>11</v>
      </c>
      <c r="D45" s="2" t="s">
        <v>9</v>
      </c>
      <c r="E45" s="2" t="s">
        <v>13</v>
      </c>
      <c r="F45">
        <v>4308</v>
      </c>
      <c r="G45">
        <v>4303.21</v>
      </c>
      <c r="H45">
        <v>0.05</v>
      </c>
    </row>
    <row r="46" spans="1:8" x14ac:dyDescent="0.3">
      <c r="A46">
        <v>45</v>
      </c>
      <c r="B46" s="1">
        <v>45336</v>
      </c>
      <c r="C46" s="2" t="s">
        <v>11</v>
      </c>
      <c r="D46" s="2" t="s">
        <v>15</v>
      </c>
      <c r="E46" s="2" t="s">
        <v>10</v>
      </c>
      <c r="F46">
        <v>2804</v>
      </c>
      <c r="G46">
        <v>3135.31</v>
      </c>
      <c r="H46">
        <v>0.05</v>
      </c>
    </row>
    <row r="47" spans="1:8" x14ac:dyDescent="0.3">
      <c r="A47">
        <v>46</v>
      </c>
      <c r="B47" s="1">
        <v>45337</v>
      </c>
      <c r="C47" s="2" t="s">
        <v>8</v>
      </c>
      <c r="D47" s="2" t="s">
        <v>9</v>
      </c>
      <c r="E47" s="2" t="s">
        <v>16</v>
      </c>
      <c r="F47">
        <v>2933</v>
      </c>
      <c r="G47">
        <v>3526.83</v>
      </c>
      <c r="H47">
        <v>0.04</v>
      </c>
    </row>
    <row r="48" spans="1:8" x14ac:dyDescent="0.3">
      <c r="A48">
        <v>47</v>
      </c>
      <c r="B48" s="1">
        <v>45338</v>
      </c>
      <c r="C48" s="2" t="s">
        <v>17</v>
      </c>
      <c r="D48" s="2" t="s">
        <v>9</v>
      </c>
      <c r="E48" s="2" t="s">
        <v>16</v>
      </c>
      <c r="F48">
        <v>3279</v>
      </c>
      <c r="G48">
        <v>3474.59</v>
      </c>
      <c r="H48">
        <v>7.0000000000000007E-2</v>
      </c>
    </row>
    <row r="49" spans="1:8" x14ac:dyDescent="0.3">
      <c r="A49">
        <v>48</v>
      </c>
      <c r="B49" s="1">
        <v>45339</v>
      </c>
      <c r="C49" s="2" t="s">
        <v>11</v>
      </c>
      <c r="D49" s="2" t="s">
        <v>9</v>
      </c>
      <c r="E49" s="2" t="s">
        <v>19</v>
      </c>
      <c r="F49">
        <v>3757</v>
      </c>
      <c r="G49">
        <v>1915.21</v>
      </c>
      <c r="H49">
        <v>0.05</v>
      </c>
    </row>
    <row r="50" spans="1:8" x14ac:dyDescent="0.3">
      <c r="A50">
        <v>49</v>
      </c>
      <c r="B50" s="1">
        <v>45340</v>
      </c>
      <c r="C50" s="2" t="s">
        <v>17</v>
      </c>
      <c r="D50" s="2" t="s">
        <v>21</v>
      </c>
      <c r="E50" s="2" t="s">
        <v>16</v>
      </c>
      <c r="F50">
        <v>2904</v>
      </c>
      <c r="G50">
        <v>2400.04</v>
      </c>
      <c r="H50">
        <v>7.0000000000000007E-2</v>
      </c>
    </row>
    <row r="51" spans="1:8" x14ac:dyDescent="0.3">
      <c r="A51">
        <v>50</v>
      </c>
      <c r="B51" s="1">
        <v>45341</v>
      </c>
      <c r="C51" s="2" t="s">
        <v>17</v>
      </c>
      <c r="D51" s="2" t="s">
        <v>9</v>
      </c>
      <c r="E51" s="2" t="s">
        <v>10</v>
      </c>
      <c r="F51">
        <v>3076</v>
      </c>
      <c r="G51">
        <v>3130.48</v>
      </c>
      <c r="H51">
        <v>7.0000000000000007E-2</v>
      </c>
    </row>
    <row r="52" spans="1:8" x14ac:dyDescent="0.3">
      <c r="A52">
        <v>51</v>
      </c>
      <c r="B52" s="1">
        <v>45342</v>
      </c>
      <c r="C52" s="2" t="s">
        <v>17</v>
      </c>
      <c r="D52" s="2" t="s">
        <v>12</v>
      </c>
      <c r="E52" s="2" t="s">
        <v>13</v>
      </c>
      <c r="F52">
        <v>4987</v>
      </c>
      <c r="G52">
        <v>2931.69</v>
      </c>
      <c r="H52">
        <v>7.0000000000000007E-2</v>
      </c>
    </row>
    <row r="53" spans="1:8" x14ac:dyDescent="0.3">
      <c r="A53">
        <v>52</v>
      </c>
      <c r="B53" s="1">
        <v>45343</v>
      </c>
      <c r="C53" s="2" t="s">
        <v>11</v>
      </c>
      <c r="D53" s="2" t="s">
        <v>14</v>
      </c>
      <c r="E53" s="2" t="s">
        <v>19</v>
      </c>
      <c r="F53">
        <v>3890</v>
      </c>
      <c r="G53">
        <v>3308.94</v>
      </c>
      <c r="H53">
        <v>0.05</v>
      </c>
    </row>
    <row r="54" spans="1:8" x14ac:dyDescent="0.3">
      <c r="A54">
        <v>53</v>
      </c>
      <c r="B54" s="1">
        <v>45344</v>
      </c>
      <c r="C54" s="2" t="s">
        <v>17</v>
      </c>
      <c r="D54" s="2" t="s">
        <v>20</v>
      </c>
      <c r="E54" s="2" t="s">
        <v>19</v>
      </c>
      <c r="F54">
        <v>3523</v>
      </c>
      <c r="G54">
        <v>1878.47</v>
      </c>
      <c r="H54">
        <v>7.0000000000000007E-2</v>
      </c>
    </row>
    <row r="55" spans="1:8" x14ac:dyDescent="0.3">
      <c r="A55">
        <v>54</v>
      </c>
      <c r="B55" s="1">
        <v>45345</v>
      </c>
      <c r="C55" s="2" t="s">
        <v>11</v>
      </c>
      <c r="D55" s="2" t="s">
        <v>18</v>
      </c>
      <c r="E55" s="2" t="s">
        <v>13</v>
      </c>
      <c r="F55">
        <v>4901</v>
      </c>
      <c r="G55">
        <v>2835.61</v>
      </c>
      <c r="H55">
        <v>0.05</v>
      </c>
    </row>
    <row r="56" spans="1:8" x14ac:dyDescent="0.3">
      <c r="A56">
        <v>55</v>
      </c>
      <c r="B56" s="1">
        <v>45346</v>
      </c>
      <c r="C56" s="2" t="s">
        <v>17</v>
      </c>
      <c r="D56" s="2" t="s">
        <v>9</v>
      </c>
      <c r="E56" s="2" t="s">
        <v>16</v>
      </c>
      <c r="F56">
        <v>3387</v>
      </c>
      <c r="G56">
        <v>3037.88</v>
      </c>
      <c r="H56">
        <v>7.0000000000000007E-2</v>
      </c>
    </row>
    <row r="57" spans="1:8" x14ac:dyDescent="0.3">
      <c r="A57">
        <v>56</v>
      </c>
      <c r="B57" s="1">
        <v>45347</v>
      </c>
      <c r="C57" s="2" t="s">
        <v>8</v>
      </c>
      <c r="D57" s="2" t="s">
        <v>15</v>
      </c>
      <c r="E57" s="2" t="s">
        <v>13</v>
      </c>
      <c r="F57">
        <v>3303</v>
      </c>
      <c r="G57">
        <v>2089.86</v>
      </c>
      <c r="H57">
        <v>0.04</v>
      </c>
    </row>
    <row r="58" spans="1:8" x14ac:dyDescent="0.3">
      <c r="A58">
        <v>57</v>
      </c>
      <c r="B58" s="1">
        <v>45348</v>
      </c>
      <c r="C58" s="2" t="s">
        <v>8</v>
      </c>
      <c r="D58" s="2" t="s">
        <v>9</v>
      </c>
      <c r="E58" s="2" t="s">
        <v>16</v>
      </c>
      <c r="F58">
        <v>2592</v>
      </c>
      <c r="G58">
        <v>2767.07</v>
      </c>
      <c r="H58">
        <v>0.04</v>
      </c>
    </row>
    <row r="59" spans="1:8" x14ac:dyDescent="0.3">
      <c r="A59">
        <v>58</v>
      </c>
      <c r="B59" s="1">
        <v>45349</v>
      </c>
      <c r="C59" s="2" t="s">
        <v>11</v>
      </c>
      <c r="D59" s="2" t="s">
        <v>15</v>
      </c>
      <c r="E59" s="2" t="s">
        <v>13</v>
      </c>
      <c r="F59">
        <v>4761</v>
      </c>
      <c r="G59">
        <v>5663.04</v>
      </c>
      <c r="H59">
        <v>0.05</v>
      </c>
    </row>
    <row r="60" spans="1:8" x14ac:dyDescent="0.3">
      <c r="A60">
        <v>59</v>
      </c>
      <c r="B60" s="1">
        <v>45350</v>
      </c>
      <c r="C60" s="2" t="s">
        <v>8</v>
      </c>
      <c r="D60" s="2" t="s">
        <v>12</v>
      </c>
      <c r="E60" s="2" t="s">
        <v>10</v>
      </c>
      <c r="F60">
        <v>4679</v>
      </c>
      <c r="G60">
        <v>6085.45</v>
      </c>
      <c r="H60">
        <v>0.04</v>
      </c>
    </row>
    <row r="61" spans="1:8" x14ac:dyDescent="0.3">
      <c r="A61">
        <v>60</v>
      </c>
      <c r="B61" s="1">
        <v>45351</v>
      </c>
      <c r="C61" s="2" t="s">
        <v>8</v>
      </c>
      <c r="D61" s="2" t="s">
        <v>15</v>
      </c>
      <c r="E61" s="2" t="s">
        <v>16</v>
      </c>
      <c r="F61">
        <v>4106</v>
      </c>
      <c r="G61">
        <v>2874.82</v>
      </c>
      <c r="H61">
        <v>0.04</v>
      </c>
    </row>
    <row r="62" spans="1:8" x14ac:dyDescent="0.3">
      <c r="A62">
        <v>61</v>
      </c>
      <c r="B62" s="1">
        <v>45352</v>
      </c>
      <c r="C62" s="2" t="s">
        <v>17</v>
      </c>
      <c r="D62" s="2" t="s">
        <v>18</v>
      </c>
      <c r="E62" s="2" t="s">
        <v>10</v>
      </c>
      <c r="F62">
        <v>2127</v>
      </c>
      <c r="G62">
        <v>1419.74</v>
      </c>
      <c r="H62">
        <v>7.0000000000000007E-2</v>
      </c>
    </row>
    <row r="63" spans="1:8" x14ac:dyDescent="0.3">
      <c r="A63">
        <v>62</v>
      </c>
      <c r="B63" s="1">
        <v>45353</v>
      </c>
      <c r="C63" s="2" t="s">
        <v>11</v>
      </c>
      <c r="D63" s="2" t="s">
        <v>14</v>
      </c>
      <c r="E63" s="2" t="s">
        <v>19</v>
      </c>
      <c r="F63">
        <v>2735</v>
      </c>
      <c r="G63">
        <v>1653.49</v>
      </c>
      <c r="H63">
        <v>0.05</v>
      </c>
    </row>
    <row r="64" spans="1:8" x14ac:dyDescent="0.3">
      <c r="A64">
        <v>63</v>
      </c>
      <c r="B64" s="1">
        <v>45354</v>
      </c>
      <c r="C64" s="2" t="s">
        <v>17</v>
      </c>
      <c r="D64" s="2" t="s">
        <v>15</v>
      </c>
      <c r="E64" s="2" t="s">
        <v>13</v>
      </c>
      <c r="F64">
        <v>4768</v>
      </c>
      <c r="G64">
        <v>5418.5</v>
      </c>
      <c r="H64">
        <v>7.0000000000000007E-2</v>
      </c>
    </row>
    <row r="65" spans="1:8" x14ac:dyDescent="0.3">
      <c r="A65">
        <v>64</v>
      </c>
      <c r="B65" s="1">
        <v>45355</v>
      </c>
      <c r="C65" s="2" t="s">
        <v>17</v>
      </c>
      <c r="D65" s="2" t="s">
        <v>15</v>
      </c>
      <c r="E65" s="2" t="s">
        <v>19</v>
      </c>
      <c r="F65">
        <v>4573</v>
      </c>
      <c r="G65">
        <v>5517.21</v>
      </c>
      <c r="H65">
        <v>7.0000000000000007E-2</v>
      </c>
    </row>
    <row r="66" spans="1:8" x14ac:dyDescent="0.3">
      <c r="A66">
        <v>65</v>
      </c>
      <c r="B66" s="1">
        <v>45356</v>
      </c>
      <c r="C66" s="2" t="s">
        <v>17</v>
      </c>
      <c r="D66" s="2" t="s">
        <v>14</v>
      </c>
      <c r="E66" s="2" t="s">
        <v>19</v>
      </c>
      <c r="F66">
        <v>2520</v>
      </c>
      <c r="G66">
        <v>1339.6</v>
      </c>
      <c r="H66">
        <v>7.0000000000000007E-2</v>
      </c>
    </row>
    <row r="67" spans="1:8" x14ac:dyDescent="0.3">
      <c r="A67">
        <v>66</v>
      </c>
      <c r="B67" s="1">
        <v>45357</v>
      </c>
      <c r="C67" s="2" t="s">
        <v>17</v>
      </c>
      <c r="D67" s="2" t="s">
        <v>18</v>
      </c>
      <c r="E67" s="2" t="s">
        <v>19</v>
      </c>
      <c r="F67">
        <v>4599</v>
      </c>
      <c r="G67">
        <v>6605.14</v>
      </c>
      <c r="H67">
        <v>7.0000000000000007E-2</v>
      </c>
    </row>
    <row r="68" spans="1:8" x14ac:dyDescent="0.3">
      <c r="A68">
        <v>67</v>
      </c>
      <c r="B68" s="1">
        <v>45358</v>
      </c>
      <c r="C68" s="2" t="s">
        <v>17</v>
      </c>
      <c r="D68" s="2" t="s">
        <v>9</v>
      </c>
      <c r="E68" s="2" t="s">
        <v>19</v>
      </c>
      <c r="F68">
        <v>2236</v>
      </c>
      <c r="G68">
        <v>1234.21</v>
      </c>
      <c r="H68">
        <v>7.0000000000000007E-2</v>
      </c>
    </row>
    <row r="69" spans="1:8" x14ac:dyDescent="0.3">
      <c r="A69">
        <v>68</v>
      </c>
      <c r="B69" s="1">
        <v>45359</v>
      </c>
      <c r="C69" s="2" t="s">
        <v>17</v>
      </c>
      <c r="D69" s="2" t="s">
        <v>15</v>
      </c>
      <c r="E69" s="2" t="s">
        <v>13</v>
      </c>
      <c r="F69">
        <v>3304</v>
      </c>
      <c r="G69">
        <v>3440.44</v>
      </c>
      <c r="H69">
        <v>7.0000000000000007E-2</v>
      </c>
    </row>
    <row r="70" spans="1:8" x14ac:dyDescent="0.3">
      <c r="A70">
        <v>69</v>
      </c>
      <c r="B70" s="1">
        <v>45360</v>
      </c>
      <c r="C70" s="2" t="s">
        <v>17</v>
      </c>
      <c r="D70" s="2" t="s">
        <v>14</v>
      </c>
      <c r="E70" s="2" t="s">
        <v>19</v>
      </c>
      <c r="F70">
        <v>3781</v>
      </c>
      <c r="G70">
        <v>4571.46</v>
      </c>
      <c r="H70">
        <v>7.0000000000000007E-2</v>
      </c>
    </row>
    <row r="71" spans="1:8" x14ac:dyDescent="0.3">
      <c r="A71">
        <v>70</v>
      </c>
      <c r="B71" s="1">
        <v>45361</v>
      </c>
      <c r="C71" s="2" t="s">
        <v>11</v>
      </c>
      <c r="D71" s="2" t="s">
        <v>12</v>
      </c>
      <c r="E71" s="2" t="s">
        <v>13</v>
      </c>
      <c r="F71">
        <v>3301</v>
      </c>
      <c r="G71">
        <v>4525.57</v>
      </c>
      <c r="H71">
        <v>0.05</v>
      </c>
    </row>
    <row r="72" spans="1:8" x14ac:dyDescent="0.3">
      <c r="A72">
        <v>71</v>
      </c>
      <c r="B72" s="1">
        <v>45362</v>
      </c>
      <c r="C72" s="2" t="s">
        <v>8</v>
      </c>
      <c r="D72" s="2" t="s">
        <v>14</v>
      </c>
      <c r="E72" s="2" t="s">
        <v>13</v>
      </c>
      <c r="F72">
        <v>4541</v>
      </c>
      <c r="G72">
        <v>5513.17</v>
      </c>
      <c r="H72">
        <v>0.04</v>
      </c>
    </row>
    <row r="73" spans="1:8" x14ac:dyDescent="0.3">
      <c r="A73">
        <v>72</v>
      </c>
      <c r="B73" s="1">
        <v>45363</v>
      </c>
      <c r="C73" s="2" t="s">
        <v>17</v>
      </c>
      <c r="D73" s="2" t="s">
        <v>12</v>
      </c>
      <c r="E73" s="2" t="s">
        <v>10</v>
      </c>
      <c r="F73">
        <v>4051</v>
      </c>
      <c r="G73">
        <v>5273.3</v>
      </c>
      <c r="H73">
        <v>7.0000000000000007E-2</v>
      </c>
    </row>
    <row r="74" spans="1:8" x14ac:dyDescent="0.3">
      <c r="A74">
        <v>73</v>
      </c>
      <c r="B74" s="1">
        <v>45364</v>
      </c>
      <c r="C74" s="2" t="s">
        <v>17</v>
      </c>
      <c r="D74" s="2" t="s">
        <v>18</v>
      </c>
      <c r="E74" s="2" t="s">
        <v>16</v>
      </c>
      <c r="F74">
        <v>4713</v>
      </c>
      <c r="G74">
        <v>3956.33</v>
      </c>
      <c r="H74">
        <v>7.0000000000000007E-2</v>
      </c>
    </row>
    <row r="75" spans="1:8" x14ac:dyDescent="0.3">
      <c r="A75">
        <v>74</v>
      </c>
      <c r="B75" s="1">
        <v>45365</v>
      </c>
      <c r="C75" s="2" t="s">
        <v>17</v>
      </c>
      <c r="D75" s="2" t="s">
        <v>9</v>
      </c>
      <c r="E75" s="2" t="s">
        <v>16</v>
      </c>
      <c r="F75">
        <v>2441</v>
      </c>
      <c r="G75">
        <v>3209.49</v>
      </c>
      <c r="H75">
        <v>7.0000000000000007E-2</v>
      </c>
    </row>
    <row r="76" spans="1:8" x14ac:dyDescent="0.3">
      <c r="A76">
        <v>75</v>
      </c>
      <c r="B76" s="1">
        <v>45366</v>
      </c>
      <c r="C76" s="2" t="s">
        <v>17</v>
      </c>
      <c r="D76" s="2" t="s">
        <v>14</v>
      </c>
      <c r="E76" s="2" t="s">
        <v>13</v>
      </c>
      <c r="F76">
        <v>4076</v>
      </c>
      <c r="G76">
        <v>2364.5500000000002</v>
      </c>
      <c r="H76">
        <v>7.0000000000000007E-2</v>
      </c>
    </row>
    <row r="77" spans="1:8" x14ac:dyDescent="0.3">
      <c r="A77">
        <v>76</v>
      </c>
      <c r="B77" s="1">
        <v>45367</v>
      </c>
      <c r="C77" s="2" t="s">
        <v>17</v>
      </c>
      <c r="D77" s="2" t="s">
        <v>20</v>
      </c>
      <c r="E77" s="2" t="s">
        <v>10</v>
      </c>
      <c r="F77">
        <v>4657</v>
      </c>
      <c r="G77">
        <v>6495.66</v>
      </c>
      <c r="H77">
        <v>7.0000000000000007E-2</v>
      </c>
    </row>
    <row r="78" spans="1:8" x14ac:dyDescent="0.3">
      <c r="A78">
        <v>77</v>
      </c>
      <c r="B78" s="1">
        <v>45368</v>
      </c>
      <c r="C78" s="2" t="s">
        <v>17</v>
      </c>
      <c r="D78" s="2" t="s">
        <v>20</v>
      </c>
      <c r="E78" s="2" t="s">
        <v>13</v>
      </c>
      <c r="F78">
        <v>2804</v>
      </c>
      <c r="G78">
        <v>2937.45</v>
      </c>
      <c r="H78">
        <v>7.0000000000000007E-2</v>
      </c>
    </row>
    <row r="79" spans="1:8" x14ac:dyDescent="0.3">
      <c r="A79">
        <v>78</v>
      </c>
      <c r="B79" s="1">
        <v>45369</v>
      </c>
      <c r="C79" s="2" t="s">
        <v>8</v>
      </c>
      <c r="D79" s="2" t="s">
        <v>21</v>
      </c>
      <c r="E79" s="2" t="s">
        <v>13</v>
      </c>
      <c r="F79">
        <v>2074</v>
      </c>
      <c r="G79">
        <v>2732.08</v>
      </c>
      <c r="H79">
        <v>0.04</v>
      </c>
    </row>
    <row r="80" spans="1:8" x14ac:dyDescent="0.3">
      <c r="A80">
        <v>79</v>
      </c>
      <c r="B80" s="1">
        <v>45370</v>
      </c>
      <c r="C80" s="2" t="s">
        <v>8</v>
      </c>
      <c r="D80" s="2" t="s">
        <v>15</v>
      </c>
      <c r="E80" s="2" t="s">
        <v>13</v>
      </c>
      <c r="F80">
        <v>4885</v>
      </c>
      <c r="G80">
        <v>4652.07</v>
      </c>
      <c r="H80">
        <v>0.04</v>
      </c>
    </row>
    <row r="81" spans="1:8" x14ac:dyDescent="0.3">
      <c r="A81">
        <v>80</v>
      </c>
      <c r="B81" s="1">
        <v>45371</v>
      </c>
      <c r="C81" s="2" t="s">
        <v>17</v>
      </c>
      <c r="D81" s="2" t="s">
        <v>18</v>
      </c>
      <c r="E81" s="2" t="s">
        <v>10</v>
      </c>
      <c r="F81">
        <v>4175</v>
      </c>
      <c r="G81">
        <v>-100</v>
      </c>
      <c r="H81">
        <v>7.0000000000000007E-2</v>
      </c>
    </row>
    <row r="82" spans="1:8" x14ac:dyDescent="0.3">
      <c r="A82">
        <v>81</v>
      </c>
      <c r="B82" s="1">
        <v>45372</v>
      </c>
      <c r="C82" s="2" t="s">
        <v>8</v>
      </c>
      <c r="D82" s="2" t="s">
        <v>14</v>
      </c>
      <c r="E82" s="2" t="s">
        <v>16</v>
      </c>
      <c r="F82">
        <v>4089</v>
      </c>
      <c r="G82">
        <v>4196.96</v>
      </c>
      <c r="H82">
        <v>0.04</v>
      </c>
    </row>
    <row r="83" spans="1:8" x14ac:dyDescent="0.3">
      <c r="A83">
        <v>82</v>
      </c>
      <c r="B83" s="1">
        <v>45373</v>
      </c>
      <c r="C83" s="2" t="s">
        <v>11</v>
      </c>
      <c r="D83" s="2" t="s">
        <v>20</v>
      </c>
      <c r="E83" s="2" t="s">
        <v>10</v>
      </c>
      <c r="F83">
        <v>3379</v>
      </c>
      <c r="G83">
        <v>4161.54</v>
      </c>
      <c r="H83">
        <v>0.05</v>
      </c>
    </row>
    <row r="84" spans="1:8" x14ac:dyDescent="0.3">
      <c r="A84">
        <v>83</v>
      </c>
      <c r="B84" s="1">
        <v>45374</v>
      </c>
      <c r="C84" s="2" t="s">
        <v>17</v>
      </c>
      <c r="D84" s="2" t="s">
        <v>15</v>
      </c>
      <c r="E84" s="2" t="s">
        <v>19</v>
      </c>
      <c r="F84">
        <v>2040</v>
      </c>
      <c r="G84">
        <v>1186.53</v>
      </c>
      <c r="H84">
        <v>7.0000000000000007E-2</v>
      </c>
    </row>
    <row r="85" spans="1:8" x14ac:dyDescent="0.3">
      <c r="A85">
        <v>84</v>
      </c>
      <c r="B85" s="1">
        <v>45375</v>
      </c>
      <c r="C85" s="2" t="s">
        <v>11</v>
      </c>
      <c r="D85" s="2" t="s">
        <v>20</v>
      </c>
      <c r="E85" s="2" t="s">
        <v>10</v>
      </c>
      <c r="F85">
        <v>4981</v>
      </c>
      <c r="G85">
        <v>2791.11</v>
      </c>
      <c r="H85">
        <v>0.05</v>
      </c>
    </row>
    <row r="86" spans="1:8" x14ac:dyDescent="0.3">
      <c r="A86">
        <v>85</v>
      </c>
      <c r="B86" s="1">
        <v>45376</v>
      </c>
      <c r="C86" s="2" t="s">
        <v>11</v>
      </c>
      <c r="D86" s="2" t="s">
        <v>14</v>
      </c>
      <c r="E86" s="2" t="s">
        <v>10</v>
      </c>
      <c r="F86">
        <v>4081</v>
      </c>
      <c r="G86">
        <v>3048.93</v>
      </c>
      <c r="H86">
        <v>0.05</v>
      </c>
    </row>
    <row r="87" spans="1:8" x14ac:dyDescent="0.3">
      <c r="A87">
        <v>86</v>
      </c>
      <c r="B87" s="1">
        <v>45377</v>
      </c>
      <c r="C87" s="2" t="s">
        <v>17</v>
      </c>
      <c r="D87" s="2" t="s">
        <v>12</v>
      </c>
      <c r="E87" s="2" t="s">
        <v>10</v>
      </c>
      <c r="F87">
        <v>3700</v>
      </c>
      <c r="G87">
        <v>2440.3200000000002</v>
      </c>
      <c r="H87">
        <v>7.0000000000000007E-2</v>
      </c>
    </row>
    <row r="88" spans="1:8" x14ac:dyDescent="0.3">
      <c r="A88">
        <v>87</v>
      </c>
      <c r="B88" s="1">
        <v>45378</v>
      </c>
      <c r="C88" s="2" t="s">
        <v>8</v>
      </c>
      <c r="D88" s="2" t="s">
        <v>14</v>
      </c>
      <c r="E88" s="2" t="s">
        <v>10</v>
      </c>
      <c r="F88">
        <v>3401</v>
      </c>
      <c r="G88">
        <v>4665.4399999999996</v>
      </c>
      <c r="H88">
        <v>0.04</v>
      </c>
    </row>
    <row r="89" spans="1:8" x14ac:dyDescent="0.3">
      <c r="A89">
        <v>88</v>
      </c>
      <c r="B89" s="1">
        <v>45379</v>
      </c>
      <c r="C89" s="2" t="s">
        <v>11</v>
      </c>
      <c r="D89" s="2" t="s">
        <v>21</v>
      </c>
      <c r="E89" s="2" t="s">
        <v>16</v>
      </c>
      <c r="F89">
        <v>2587</v>
      </c>
      <c r="G89">
        <v>1860.61</v>
      </c>
      <c r="H89">
        <v>0.05</v>
      </c>
    </row>
    <row r="90" spans="1:8" x14ac:dyDescent="0.3">
      <c r="A90">
        <v>89</v>
      </c>
      <c r="B90" s="1">
        <v>45380</v>
      </c>
      <c r="C90" s="2" t="s">
        <v>17</v>
      </c>
      <c r="D90" s="2" t="s">
        <v>14</v>
      </c>
      <c r="E90" s="2" t="s">
        <v>19</v>
      </c>
      <c r="F90">
        <v>3622</v>
      </c>
      <c r="G90">
        <v>5345.58</v>
      </c>
      <c r="H90">
        <v>7.0000000000000007E-2</v>
      </c>
    </row>
    <row r="91" spans="1:8" x14ac:dyDescent="0.3">
      <c r="A91">
        <v>90</v>
      </c>
      <c r="B91" s="1">
        <v>45381</v>
      </c>
      <c r="C91" s="2" t="s">
        <v>11</v>
      </c>
      <c r="D91" s="2" t="s">
        <v>14</v>
      </c>
      <c r="E91" s="2" t="s">
        <v>16</v>
      </c>
      <c r="F91">
        <v>2341</v>
      </c>
      <c r="G91">
        <v>1959.17</v>
      </c>
      <c r="H91">
        <v>0.05</v>
      </c>
    </row>
    <row r="92" spans="1:8" x14ac:dyDescent="0.3">
      <c r="A92">
        <v>91</v>
      </c>
      <c r="B92" s="1">
        <v>45382</v>
      </c>
      <c r="C92" s="2" t="s">
        <v>11</v>
      </c>
      <c r="D92" s="2" t="s">
        <v>21</v>
      </c>
      <c r="E92" s="2" t="s">
        <v>16</v>
      </c>
      <c r="F92">
        <v>4074</v>
      </c>
      <c r="G92">
        <v>2778.95</v>
      </c>
      <c r="H92">
        <v>0.05</v>
      </c>
    </row>
    <row r="93" spans="1:8" x14ac:dyDescent="0.3">
      <c r="A93">
        <v>92</v>
      </c>
      <c r="B93" s="1">
        <v>45383</v>
      </c>
      <c r="C93" s="2" t="s">
        <v>11</v>
      </c>
      <c r="D93" s="2" t="s">
        <v>18</v>
      </c>
      <c r="E93" s="2" t="s">
        <v>10</v>
      </c>
      <c r="F93">
        <v>2645</v>
      </c>
      <c r="G93">
        <v>3411.25</v>
      </c>
      <c r="H93">
        <v>0.05</v>
      </c>
    </row>
    <row r="94" spans="1:8" x14ac:dyDescent="0.3">
      <c r="A94">
        <v>93</v>
      </c>
      <c r="B94" s="1">
        <v>45384</v>
      </c>
      <c r="C94" s="2" t="s">
        <v>11</v>
      </c>
      <c r="D94" s="2" t="s">
        <v>14</v>
      </c>
      <c r="E94" s="2" t="s">
        <v>13</v>
      </c>
      <c r="F94">
        <v>2730</v>
      </c>
      <c r="G94">
        <v>3163.27</v>
      </c>
      <c r="H94">
        <v>0.05</v>
      </c>
    </row>
    <row r="95" spans="1:8" x14ac:dyDescent="0.3">
      <c r="A95">
        <v>94</v>
      </c>
      <c r="B95" s="1">
        <v>45385</v>
      </c>
      <c r="C95" s="2" t="s">
        <v>8</v>
      </c>
      <c r="D95" s="2" t="s">
        <v>21</v>
      </c>
      <c r="E95" s="2" t="s">
        <v>13</v>
      </c>
      <c r="F95">
        <v>2167</v>
      </c>
      <c r="G95">
        <v>2163.09</v>
      </c>
      <c r="H95">
        <v>0.04</v>
      </c>
    </row>
    <row r="96" spans="1:8" x14ac:dyDescent="0.3">
      <c r="A96">
        <v>95</v>
      </c>
      <c r="B96" s="1">
        <v>45386</v>
      </c>
      <c r="C96" s="2" t="s">
        <v>11</v>
      </c>
      <c r="D96" s="2" t="s">
        <v>15</v>
      </c>
      <c r="E96" s="2" t="s">
        <v>16</v>
      </c>
      <c r="F96">
        <v>2609</v>
      </c>
      <c r="G96">
        <v>2753.44</v>
      </c>
      <c r="H96">
        <v>0.05</v>
      </c>
    </row>
    <row r="97" spans="1:8" x14ac:dyDescent="0.3">
      <c r="A97">
        <v>96</v>
      </c>
      <c r="B97" s="1">
        <v>45387</v>
      </c>
      <c r="C97" s="2" t="s">
        <v>11</v>
      </c>
      <c r="D97" s="2" t="s">
        <v>12</v>
      </c>
      <c r="E97" s="2" t="s">
        <v>16</v>
      </c>
      <c r="F97">
        <v>4315</v>
      </c>
      <c r="H97">
        <v>0.05</v>
      </c>
    </row>
    <row r="98" spans="1:8" x14ac:dyDescent="0.3">
      <c r="A98">
        <v>97</v>
      </c>
      <c r="B98" s="1">
        <v>45388</v>
      </c>
      <c r="C98" s="2" t="s">
        <v>11</v>
      </c>
      <c r="D98" s="2" t="s">
        <v>12</v>
      </c>
      <c r="E98" s="2" t="s">
        <v>10</v>
      </c>
      <c r="F98">
        <v>3772</v>
      </c>
      <c r="G98">
        <v>2747.73</v>
      </c>
      <c r="H98">
        <v>0.05</v>
      </c>
    </row>
    <row r="99" spans="1:8" x14ac:dyDescent="0.3">
      <c r="A99">
        <v>98</v>
      </c>
      <c r="B99" s="1">
        <v>45389</v>
      </c>
      <c r="C99" s="2" t="s">
        <v>8</v>
      </c>
      <c r="D99" s="2" t="s">
        <v>14</v>
      </c>
      <c r="E99" s="2" t="s">
        <v>16</v>
      </c>
      <c r="F99">
        <v>4040</v>
      </c>
      <c r="G99">
        <v>6045.19</v>
      </c>
      <c r="H99">
        <v>0.04</v>
      </c>
    </row>
    <row r="100" spans="1:8" x14ac:dyDescent="0.3">
      <c r="A100">
        <v>99</v>
      </c>
      <c r="B100" s="1">
        <v>45390</v>
      </c>
      <c r="C100" s="2" t="s">
        <v>11</v>
      </c>
      <c r="D100" s="2" t="s">
        <v>18</v>
      </c>
      <c r="E100" s="2" t="s">
        <v>10</v>
      </c>
      <c r="F100">
        <v>4868</v>
      </c>
      <c r="G100">
        <v>7179.29</v>
      </c>
      <c r="H100">
        <v>0.05</v>
      </c>
    </row>
    <row r="101" spans="1:8" x14ac:dyDescent="0.3">
      <c r="A101">
        <v>100</v>
      </c>
      <c r="B101" s="1">
        <v>45391</v>
      </c>
      <c r="C101" s="2" t="s">
        <v>11</v>
      </c>
      <c r="D101" s="2" t="s">
        <v>18</v>
      </c>
      <c r="E101" s="2" t="s">
        <v>13</v>
      </c>
      <c r="F101">
        <v>2454</v>
      </c>
      <c r="G101">
        <v>2822.9</v>
      </c>
      <c r="H101">
        <v>0.05</v>
      </c>
    </row>
    <row r="102" spans="1:8" x14ac:dyDescent="0.3">
      <c r="A102">
        <v>101</v>
      </c>
      <c r="B102" s="1">
        <v>45392</v>
      </c>
      <c r="C102" s="2" t="s">
        <v>8</v>
      </c>
      <c r="D102" s="2" t="s">
        <v>15</v>
      </c>
      <c r="E102" s="2" t="s">
        <v>13</v>
      </c>
      <c r="F102">
        <v>4953</v>
      </c>
      <c r="G102">
        <v>3464.83</v>
      </c>
      <c r="H102">
        <v>0.04</v>
      </c>
    </row>
    <row r="103" spans="1:8" x14ac:dyDescent="0.3">
      <c r="A103">
        <v>102</v>
      </c>
      <c r="B103" s="1">
        <v>45393</v>
      </c>
      <c r="C103" s="2" t="s">
        <v>8</v>
      </c>
      <c r="D103" s="2" t="s">
        <v>14</v>
      </c>
      <c r="E103" s="2" t="s">
        <v>19</v>
      </c>
      <c r="F103">
        <v>3708</v>
      </c>
      <c r="G103">
        <v>4376.29</v>
      </c>
      <c r="H103">
        <v>0.04</v>
      </c>
    </row>
    <row r="104" spans="1:8" x14ac:dyDescent="0.3">
      <c r="A104">
        <v>103</v>
      </c>
      <c r="B104" s="1">
        <v>45394</v>
      </c>
      <c r="C104" s="2" t="s">
        <v>8</v>
      </c>
      <c r="D104" s="2" t="s">
        <v>12</v>
      </c>
      <c r="E104" s="2" t="s">
        <v>13</v>
      </c>
      <c r="F104">
        <v>4969</v>
      </c>
      <c r="G104">
        <v>2843.25</v>
      </c>
      <c r="H104">
        <v>0.04</v>
      </c>
    </row>
    <row r="105" spans="1:8" x14ac:dyDescent="0.3">
      <c r="A105">
        <v>104</v>
      </c>
      <c r="B105" s="1">
        <v>45395</v>
      </c>
      <c r="C105" s="2" t="s">
        <v>11</v>
      </c>
      <c r="D105" s="2" t="s">
        <v>18</v>
      </c>
      <c r="E105" s="2" t="s">
        <v>16</v>
      </c>
      <c r="F105">
        <v>2701</v>
      </c>
      <c r="G105">
        <v>1433.29</v>
      </c>
      <c r="H105">
        <v>0.05</v>
      </c>
    </row>
    <row r="106" spans="1:8" x14ac:dyDescent="0.3">
      <c r="A106">
        <v>105</v>
      </c>
      <c r="B106" s="1">
        <v>45396</v>
      </c>
      <c r="C106" s="2" t="s">
        <v>8</v>
      </c>
      <c r="D106" s="2" t="s">
        <v>14</v>
      </c>
      <c r="E106" s="2" t="s">
        <v>13</v>
      </c>
      <c r="F106">
        <v>4681</v>
      </c>
      <c r="G106">
        <v>3546.71</v>
      </c>
      <c r="H106">
        <v>0.04</v>
      </c>
    </row>
    <row r="107" spans="1:8" x14ac:dyDescent="0.3">
      <c r="A107">
        <v>106</v>
      </c>
      <c r="B107" s="1">
        <v>45397</v>
      </c>
      <c r="C107" s="2" t="s">
        <v>8</v>
      </c>
      <c r="D107" s="2" t="s">
        <v>20</v>
      </c>
      <c r="E107" s="2" t="s">
        <v>10</v>
      </c>
      <c r="F107">
        <v>3599</v>
      </c>
      <c r="G107">
        <v>3464.48</v>
      </c>
      <c r="H107">
        <v>0.04</v>
      </c>
    </row>
    <row r="108" spans="1:8" x14ac:dyDescent="0.3">
      <c r="A108">
        <v>107</v>
      </c>
      <c r="B108" s="1">
        <v>45398</v>
      </c>
      <c r="C108" s="2" t="s">
        <v>11</v>
      </c>
      <c r="D108" s="2" t="s">
        <v>18</v>
      </c>
      <c r="E108" s="2" t="s">
        <v>13</v>
      </c>
      <c r="F108">
        <v>2129</v>
      </c>
      <c r="G108">
        <v>2913.05</v>
      </c>
      <c r="H108">
        <v>0.05</v>
      </c>
    </row>
    <row r="109" spans="1:8" x14ac:dyDescent="0.3">
      <c r="A109">
        <v>108</v>
      </c>
      <c r="B109" s="1">
        <v>45399</v>
      </c>
      <c r="C109" s="2" t="s">
        <v>8</v>
      </c>
      <c r="D109" s="2" t="s">
        <v>21</v>
      </c>
      <c r="E109" s="2" t="s">
        <v>19</v>
      </c>
      <c r="F109">
        <v>3845</v>
      </c>
      <c r="G109">
        <v>4718.47</v>
      </c>
      <c r="H109">
        <v>0.04</v>
      </c>
    </row>
    <row r="110" spans="1:8" x14ac:dyDescent="0.3">
      <c r="A110">
        <v>109</v>
      </c>
      <c r="B110" s="1">
        <v>45400</v>
      </c>
      <c r="C110" s="2" t="s">
        <v>11</v>
      </c>
      <c r="D110" s="2" t="s">
        <v>20</v>
      </c>
      <c r="E110" s="2" t="s">
        <v>13</v>
      </c>
      <c r="F110">
        <v>3386</v>
      </c>
      <c r="G110">
        <v>4207.8</v>
      </c>
      <c r="H110">
        <v>0.05</v>
      </c>
    </row>
    <row r="111" spans="1:8" x14ac:dyDescent="0.3">
      <c r="A111">
        <v>110</v>
      </c>
      <c r="B111" s="1">
        <v>45401</v>
      </c>
      <c r="C111" s="2" t="s">
        <v>17</v>
      </c>
      <c r="D111" s="2" t="s">
        <v>18</v>
      </c>
      <c r="E111" s="2" t="s">
        <v>10</v>
      </c>
      <c r="F111">
        <v>4866</v>
      </c>
      <c r="G111">
        <v>4503.45</v>
      </c>
      <c r="H111">
        <v>7.0000000000000007E-2</v>
      </c>
    </row>
    <row r="112" spans="1:8" x14ac:dyDescent="0.3">
      <c r="A112">
        <v>111</v>
      </c>
      <c r="B112" s="1">
        <v>45402</v>
      </c>
      <c r="C112" s="2" t="s">
        <v>8</v>
      </c>
      <c r="D112" s="2" t="s">
        <v>12</v>
      </c>
      <c r="E112" s="2" t="s">
        <v>10</v>
      </c>
      <c r="F112">
        <v>2692</v>
      </c>
      <c r="G112">
        <v>2277.2600000000002</v>
      </c>
      <c r="H112">
        <v>0.04</v>
      </c>
    </row>
    <row r="113" spans="1:8" x14ac:dyDescent="0.3">
      <c r="A113">
        <v>112</v>
      </c>
      <c r="B113" s="1">
        <v>45403</v>
      </c>
      <c r="C113" s="2" t="s">
        <v>17</v>
      </c>
      <c r="D113" s="2" t="s">
        <v>9</v>
      </c>
      <c r="E113" s="2" t="s">
        <v>16</v>
      </c>
      <c r="F113">
        <v>3394</v>
      </c>
      <c r="G113">
        <v>2956.31</v>
      </c>
      <c r="H113">
        <v>7.0000000000000007E-2</v>
      </c>
    </row>
    <row r="114" spans="1:8" x14ac:dyDescent="0.3">
      <c r="A114">
        <v>113</v>
      </c>
      <c r="B114" s="1">
        <v>45404</v>
      </c>
      <c r="C114" s="2" t="s">
        <v>11</v>
      </c>
      <c r="D114" s="2" t="s">
        <v>20</v>
      </c>
      <c r="E114" s="2" t="s">
        <v>13</v>
      </c>
      <c r="F114">
        <v>2793</v>
      </c>
      <c r="G114">
        <v>4155.01</v>
      </c>
      <c r="H114">
        <v>0.05</v>
      </c>
    </row>
    <row r="115" spans="1:8" x14ac:dyDescent="0.3">
      <c r="A115">
        <v>114</v>
      </c>
      <c r="B115" s="1">
        <v>45405</v>
      </c>
      <c r="C115" s="2" t="s">
        <v>8</v>
      </c>
      <c r="D115" s="2" t="s">
        <v>15</v>
      </c>
      <c r="E115" s="2" t="s">
        <v>10</v>
      </c>
      <c r="F115">
        <v>2028</v>
      </c>
      <c r="G115">
        <v>1095.3399999999999</v>
      </c>
      <c r="H115">
        <v>0.04</v>
      </c>
    </row>
    <row r="116" spans="1:8" x14ac:dyDescent="0.3">
      <c r="A116">
        <v>115</v>
      </c>
      <c r="B116" s="1">
        <v>45406</v>
      </c>
      <c r="C116" s="2" t="s">
        <v>11</v>
      </c>
      <c r="D116" s="2" t="s">
        <v>15</v>
      </c>
      <c r="E116" s="2" t="s">
        <v>19</v>
      </c>
      <c r="F116">
        <v>2148</v>
      </c>
      <c r="G116">
        <v>2936.38</v>
      </c>
      <c r="H116">
        <v>0.05</v>
      </c>
    </row>
    <row r="117" spans="1:8" x14ac:dyDescent="0.3">
      <c r="A117">
        <v>116</v>
      </c>
      <c r="B117" s="1">
        <v>45407</v>
      </c>
      <c r="C117" s="2" t="s">
        <v>17</v>
      </c>
      <c r="D117" s="2" t="s">
        <v>12</v>
      </c>
      <c r="E117" s="2" t="s">
        <v>16</v>
      </c>
      <c r="F117">
        <v>3319</v>
      </c>
      <c r="G117">
        <v>3580.12</v>
      </c>
      <c r="H117">
        <v>7.0000000000000007E-2</v>
      </c>
    </row>
    <row r="118" spans="1:8" x14ac:dyDescent="0.3">
      <c r="A118">
        <v>117</v>
      </c>
      <c r="B118" s="1">
        <v>45408</v>
      </c>
      <c r="C118" s="2" t="s">
        <v>11</v>
      </c>
      <c r="D118" s="2" t="s">
        <v>18</v>
      </c>
      <c r="E118" s="2" t="s">
        <v>19</v>
      </c>
      <c r="F118">
        <v>4058</v>
      </c>
      <c r="G118">
        <v>3808.9</v>
      </c>
      <c r="H118">
        <v>0.05</v>
      </c>
    </row>
    <row r="119" spans="1:8" x14ac:dyDescent="0.3">
      <c r="A119">
        <v>118</v>
      </c>
      <c r="B119" s="1">
        <v>45409</v>
      </c>
      <c r="C119" s="2" t="s">
        <v>8</v>
      </c>
      <c r="D119" s="2" t="s">
        <v>14</v>
      </c>
      <c r="E119" s="2" t="s">
        <v>13</v>
      </c>
      <c r="F119">
        <v>4723</v>
      </c>
      <c r="G119">
        <v>5786.89</v>
      </c>
      <c r="H119">
        <v>0.04</v>
      </c>
    </row>
    <row r="120" spans="1:8" x14ac:dyDescent="0.3">
      <c r="A120">
        <v>119</v>
      </c>
      <c r="B120" s="1">
        <v>45410</v>
      </c>
      <c r="C120" s="2" t="s">
        <v>8</v>
      </c>
      <c r="D120" s="2" t="s">
        <v>18</v>
      </c>
      <c r="E120" s="2" t="s">
        <v>13</v>
      </c>
      <c r="F120">
        <v>3136</v>
      </c>
      <c r="G120">
        <v>3094.19</v>
      </c>
      <c r="H120">
        <v>0.04</v>
      </c>
    </row>
    <row r="121" spans="1:8" x14ac:dyDescent="0.3">
      <c r="A121">
        <v>120</v>
      </c>
      <c r="B121" s="1">
        <v>45411</v>
      </c>
      <c r="C121" s="2" t="s">
        <v>17</v>
      </c>
      <c r="D121" s="2" t="s">
        <v>12</v>
      </c>
      <c r="E121" s="2" t="s">
        <v>13</v>
      </c>
      <c r="F121">
        <v>2186</v>
      </c>
      <c r="G121">
        <v>3002.3</v>
      </c>
      <c r="H121">
        <v>7.0000000000000007E-2</v>
      </c>
    </row>
    <row r="122" spans="1:8" x14ac:dyDescent="0.3">
      <c r="A122">
        <v>121</v>
      </c>
      <c r="B122" s="1">
        <v>45412</v>
      </c>
      <c r="C122" s="2" t="s">
        <v>11</v>
      </c>
      <c r="D122" s="2" t="s">
        <v>15</v>
      </c>
      <c r="E122" s="2" t="s">
        <v>16</v>
      </c>
      <c r="F122">
        <v>4854</v>
      </c>
      <c r="G122">
        <v>6799.01</v>
      </c>
      <c r="H122">
        <v>0.05</v>
      </c>
    </row>
    <row r="123" spans="1:8" x14ac:dyDescent="0.3">
      <c r="A123">
        <v>122</v>
      </c>
      <c r="B123" s="1">
        <v>45413</v>
      </c>
      <c r="C123" s="2" t="s">
        <v>8</v>
      </c>
      <c r="D123" s="2" t="s">
        <v>18</v>
      </c>
      <c r="E123" s="2" t="s">
        <v>10</v>
      </c>
      <c r="F123">
        <v>4791</v>
      </c>
      <c r="G123">
        <v>4415.96</v>
      </c>
      <c r="H123">
        <v>0.04</v>
      </c>
    </row>
    <row r="124" spans="1:8" x14ac:dyDescent="0.3">
      <c r="A124">
        <v>123</v>
      </c>
      <c r="B124" s="1">
        <v>45414</v>
      </c>
      <c r="C124" s="2" t="s">
        <v>17</v>
      </c>
      <c r="D124" s="2" t="s">
        <v>15</v>
      </c>
      <c r="E124" s="2" t="s">
        <v>16</v>
      </c>
      <c r="F124">
        <v>3250</v>
      </c>
      <c r="G124">
        <v>2524.69</v>
      </c>
      <c r="H124">
        <v>7.0000000000000007E-2</v>
      </c>
    </row>
    <row r="125" spans="1:8" x14ac:dyDescent="0.3">
      <c r="A125">
        <v>124</v>
      </c>
      <c r="B125" s="1">
        <v>45415</v>
      </c>
      <c r="C125" s="2" t="s">
        <v>8</v>
      </c>
      <c r="D125" s="2" t="s">
        <v>20</v>
      </c>
      <c r="E125" s="2" t="s">
        <v>19</v>
      </c>
      <c r="F125">
        <v>3333</v>
      </c>
      <c r="G125">
        <v>3640.8</v>
      </c>
      <c r="H125">
        <v>0.04</v>
      </c>
    </row>
    <row r="126" spans="1:8" x14ac:dyDescent="0.3">
      <c r="A126">
        <v>125</v>
      </c>
      <c r="B126" s="1">
        <v>45416</v>
      </c>
      <c r="C126" s="2" t="s">
        <v>8</v>
      </c>
      <c r="D126" s="2" t="s">
        <v>14</v>
      </c>
      <c r="E126" s="2" t="s">
        <v>16</v>
      </c>
      <c r="F126">
        <v>2097</v>
      </c>
      <c r="G126">
        <v>2961.73</v>
      </c>
      <c r="H126">
        <v>0.04</v>
      </c>
    </row>
    <row r="127" spans="1:8" x14ac:dyDescent="0.3">
      <c r="A127">
        <v>126</v>
      </c>
      <c r="B127" s="1">
        <v>45417</v>
      </c>
      <c r="C127" s="2" t="s">
        <v>11</v>
      </c>
      <c r="D127" s="2" t="s">
        <v>20</v>
      </c>
      <c r="E127" s="2" t="s">
        <v>19</v>
      </c>
      <c r="F127">
        <v>2054</v>
      </c>
      <c r="G127">
        <v>1459.7</v>
      </c>
      <c r="H127">
        <v>0.05</v>
      </c>
    </row>
    <row r="128" spans="1:8" x14ac:dyDescent="0.3">
      <c r="A128">
        <v>127</v>
      </c>
      <c r="B128" s="1">
        <v>45418</v>
      </c>
      <c r="C128" s="2" t="s">
        <v>8</v>
      </c>
      <c r="D128" s="2" t="s">
        <v>15</v>
      </c>
      <c r="E128" s="2" t="s">
        <v>16</v>
      </c>
      <c r="F128">
        <v>4670</v>
      </c>
      <c r="G128">
        <v>5244.25</v>
      </c>
      <c r="H128">
        <v>0.04</v>
      </c>
    </row>
    <row r="129" spans="1:8" x14ac:dyDescent="0.3">
      <c r="A129">
        <v>128</v>
      </c>
      <c r="B129" s="1">
        <v>45419</v>
      </c>
      <c r="C129" s="2" t="s">
        <v>11</v>
      </c>
      <c r="D129" s="2" t="s">
        <v>15</v>
      </c>
      <c r="E129" s="2" t="s">
        <v>10</v>
      </c>
      <c r="F129">
        <v>4711</v>
      </c>
      <c r="G129">
        <v>5330.78</v>
      </c>
      <c r="H129">
        <v>0.05</v>
      </c>
    </row>
    <row r="130" spans="1:8" x14ac:dyDescent="0.3">
      <c r="A130">
        <v>129</v>
      </c>
      <c r="B130" s="1">
        <v>45420</v>
      </c>
      <c r="C130" s="2" t="s">
        <v>8</v>
      </c>
      <c r="D130" s="2" t="s">
        <v>9</v>
      </c>
      <c r="E130" s="2" t="s">
        <v>19</v>
      </c>
      <c r="F130">
        <v>2757</v>
      </c>
      <c r="G130">
        <v>3399.69</v>
      </c>
      <c r="H130">
        <v>0.04</v>
      </c>
    </row>
    <row r="131" spans="1:8" x14ac:dyDescent="0.3">
      <c r="A131">
        <v>130</v>
      </c>
      <c r="B131" s="1">
        <v>45421</v>
      </c>
      <c r="C131" s="2" t="s">
        <v>17</v>
      </c>
      <c r="D131" s="2" t="s">
        <v>9</v>
      </c>
      <c r="E131" s="2" t="s">
        <v>13</v>
      </c>
      <c r="F131">
        <v>2405</v>
      </c>
      <c r="G131">
        <v>1518.92</v>
      </c>
      <c r="H131">
        <v>7.0000000000000007E-2</v>
      </c>
    </row>
    <row r="132" spans="1:8" x14ac:dyDescent="0.3">
      <c r="A132">
        <v>131</v>
      </c>
      <c r="B132" s="1">
        <v>45422</v>
      </c>
      <c r="C132" s="2" t="s">
        <v>8</v>
      </c>
      <c r="D132" s="2" t="s">
        <v>20</v>
      </c>
      <c r="E132" s="2" t="s">
        <v>13</v>
      </c>
      <c r="F132">
        <v>4116</v>
      </c>
      <c r="H132">
        <v>0.04</v>
      </c>
    </row>
    <row r="133" spans="1:8" x14ac:dyDescent="0.3">
      <c r="A133">
        <v>132</v>
      </c>
      <c r="B133" s="1">
        <v>45423</v>
      </c>
      <c r="C133" s="2" t="s">
        <v>11</v>
      </c>
      <c r="D133" s="2" t="s">
        <v>21</v>
      </c>
      <c r="E133" s="2" t="s">
        <v>16</v>
      </c>
      <c r="F133">
        <v>3312</v>
      </c>
      <c r="G133">
        <v>4666.72</v>
      </c>
      <c r="H133">
        <v>0.05</v>
      </c>
    </row>
    <row r="134" spans="1:8" x14ac:dyDescent="0.3">
      <c r="A134">
        <v>133</v>
      </c>
      <c r="B134" s="1">
        <v>45424</v>
      </c>
      <c r="C134" s="2" t="s">
        <v>11</v>
      </c>
      <c r="D134" s="2" t="s">
        <v>20</v>
      </c>
      <c r="E134" s="2" t="s">
        <v>13</v>
      </c>
      <c r="F134">
        <v>3785</v>
      </c>
      <c r="G134">
        <v>2572.6</v>
      </c>
      <c r="H134">
        <v>0.05</v>
      </c>
    </row>
    <row r="135" spans="1:8" x14ac:dyDescent="0.3">
      <c r="A135">
        <v>134</v>
      </c>
      <c r="B135" s="1">
        <v>45425</v>
      </c>
      <c r="C135" s="2" t="s">
        <v>17</v>
      </c>
      <c r="D135" s="2" t="s">
        <v>9</v>
      </c>
      <c r="E135" s="2" t="s">
        <v>19</v>
      </c>
      <c r="F135">
        <v>2750</v>
      </c>
      <c r="G135">
        <v>2028.24</v>
      </c>
      <c r="H135">
        <v>7.0000000000000007E-2</v>
      </c>
    </row>
    <row r="136" spans="1:8" x14ac:dyDescent="0.3">
      <c r="A136">
        <v>135</v>
      </c>
      <c r="B136" s="1">
        <v>45426</v>
      </c>
      <c r="C136" s="2" t="s">
        <v>8</v>
      </c>
      <c r="D136" s="2" t="s">
        <v>15</v>
      </c>
      <c r="E136" s="2" t="s">
        <v>13</v>
      </c>
      <c r="F136">
        <v>3762</v>
      </c>
      <c r="G136">
        <v>5535.39</v>
      </c>
      <c r="H136">
        <v>0.04</v>
      </c>
    </row>
    <row r="137" spans="1:8" x14ac:dyDescent="0.3">
      <c r="A137">
        <v>136</v>
      </c>
      <c r="B137" s="1">
        <v>45427</v>
      </c>
      <c r="C137" s="2" t="s">
        <v>8</v>
      </c>
      <c r="D137" s="2" t="s">
        <v>12</v>
      </c>
      <c r="E137" s="2" t="s">
        <v>10</v>
      </c>
      <c r="F137">
        <v>2364</v>
      </c>
      <c r="G137">
        <v>1609.83</v>
      </c>
      <c r="H137">
        <v>0.04</v>
      </c>
    </row>
    <row r="138" spans="1:8" x14ac:dyDescent="0.3">
      <c r="A138">
        <v>137</v>
      </c>
      <c r="B138" s="1">
        <v>45428</v>
      </c>
      <c r="C138" s="2" t="s">
        <v>17</v>
      </c>
      <c r="D138" s="2" t="s">
        <v>20</v>
      </c>
      <c r="E138" s="2" t="s">
        <v>10</v>
      </c>
      <c r="F138">
        <v>4026</v>
      </c>
      <c r="G138">
        <v>5452.75</v>
      </c>
      <c r="H138">
        <v>7.0000000000000007E-2</v>
      </c>
    </row>
    <row r="139" spans="1:8" x14ac:dyDescent="0.3">
      <c r="A139">
        <v>138</v>
      </c>
      <c r="B139" s="1">
        <v>45429</v>
      </c>
      <c r="C139" s="2" t="s">
        <v>8</v>
      </c>
      <c r="D139" s="2" t="s">
        <v>15</v>
      </c>
      <c r="E139" s="2" t="s">
        <v>16</v>
      </c>
      <c r="F139">
        <v>2481</v>
      </c>
      <c r="G139">
        <v>2461.84</v>
      </c>
      <c r="H139">
        <v>0.04</v>
      </c>
    </row>
    <row r="140" spans="1:8" x14ac:dyDescent="0.3">
      <c r="A140">
        <v>139</v>
      </c>
      <c r="B140" s="1">
        <v>45430</v>
      </c>
      <c r="C140" s="2" t="s">
        <v>8</v>
      </c>
      <c r="D140" s="2" t="s">
        <v>12</v>
      </c>
      <c r="E140" s="2" t="s">
        <v>19</v>
      </c>
      <c r="F140">
        <v>4248</v>
      </c>
      <c r="G140">
        <v>3174.24</v>
      </c>
      <c r="H140">
        <v>0.04</v>
      </c>
    </row>
    <row r="141" spans="1:8" x14ac:dyDescent="0.3">
      <c r="A141">
        <v>140</v>
      </c>
      <c r="B141" s="1">
        <v>45431</v>
      </c>
      <c r="C141" s="2" t="s">
        <v>11</v>
      </c>
      <c r="D141" s="2" t="s">
        <v>12</v>
      </c>
      <c r="E141" s="2" t="s">
        <v>10</v>
      </c>
      <c r="F141">
        <v>2153</v>
      </c>
      <c r="G141">
        <v>2951.22</v>
      </c>
      <c r="H141">
        <v>0.05</v>
      </c>
    </row>
    <row r="142" spans="1:8" x14ac:dyDescent="0.3">
      <c r="A142">
        <v>141</v>
      </c>
      <c r="B142" s="1">
        <v>45432</v>
      </c>
      <c r="C142" s="2" t="s">
        <v>8</v>
      </c>
      <c r="D142" s="2" t="s">
        <v>9</v>
      </c>
      <c r="E142" s="2" t="s">
        <v>10</v>
      </c>
      <c r="F142">
        <v>3524</v>
      </c>
      <c r="G142">
        <v>3331.26</v>
      </c>
      <c r="H142">
        <v>0.04</v>
      </c>
    </row>
    <row r="143" spans="1:8" x14ac:dyDescent="0.3">
      <c r="A143">
        <v>142</v>
      </c>
      <c r="B143" s="1">
        <v>45433</v>
      </c>
      <c r="C143" s="2" t="s">
        <v>8</v>
      </c>
      <c r="D143" s="2" t="s">
        <v>20</v>
      </c>
      <c r="E143" s="2" t="s">
        <v>19</v>
      </c>
      <c r="F143">
        <v>4120</v>
      </c>
      <c r="G143">
        <v>4181.05</v>
      </c>
      <c r="H143">
        <v>0.04</v>
      </c>
    </row>
    <row r="144" spans="1:8" x14ac:dyDescent="0.3">
      <c r="A144">
        <v>143</v>
      </c>
      <c r="B144" s="1">
        <v>45434</v>
      </c>
      <c r="C144" s="2" t="s">
        <v>17</v>
      </c>
      <c r="D144" s="2" t="s">
        <v>18</v>
      </c>
      <c r="E144" s="2" t="s">
        <v>13</v>
      </c>
      <c r="F144">
        <v>4760</v>
      </c>
      <c r="G144">
        <v>4089.95</v>
      </c>
      <c r="H144">
        <v>7.0000000000000007E-2</v>
      </c>
    </row>
    <row r="145" spans="1:8" x14ac:dyDescent="0.3">
      <c r="A145">
        <v>144</v>
      </c>
      <c r="B145" s="1">
        <v>45435</v>
      </c>
      <c r="C145" s="2" t="s">
        <v>17</v>
      </c>
      <c r="D145" s="2" t="s">
        <v>14</v>
      </c>
      <c r="E145" s="2" t="s">
        <v>13</v>
      </c>
      <c r="F145">
        <v>4343</v>
      </c>
      <c r="G145">
        <v>4746.6899999999996</v>
      </c>
      <c r="H145">
        <v>7.0000000000000007E-2</v>
      </c>
    </row>
    <row r="146" spans="1:8" x14ac:dyDescent="0.3">
      <c r="A146">
        <v>145</v>
      </c>
      <c r="B146" s="1">
        <v>45436</v>
      </c>
      <c r="C146" s="2" t="s">
        <v>11</v>
      </c>
      <c r="D146" s="2" t="s">
        <v>9</v>
      </c>
      <c r="E146" s="2" t="s">
        <v>16</v>
      </c>
      <c r="F146">
        <v>3040</v>
      </c>
      <c r="G146">
        <v>2017.11</v>
      </c>
      <c r="H146">
        <v>0.05</v>
      </c>
    </row>
    <row r="147" spans="1:8" x14ac:dyDescent="0.3">
      <c r="A147">
        <v>146</v>
      </c>
      <c r="B147" s="1">
        <v>45437</v>
      </c>
      <c r="C147" s="2" t="s">
        <v>8</v>
      </c>
      <c r="D147" s="2" t="s">
        <v>9</v>
      </c>
      <c r="E147" s="2" t="s">
        <v>13</v>
      </c>
      <c r="F147">
        <v>3664</v>
      </c>
      <c r="G147">
        <v>3264.92</v>
      </c>
      <c r="H147">
        <v>0.04</v>
      </c>
    </row>
    <row r="148" spans="1:8" x14ac:dyDescent="0.3">
      <c r="A148">
        <v>147</v>
      </c>
      <c r="B148" s="1">
        <v>45438</v>
      </c>
      <c r="C148" s="2" t="s">
        <v>8</v>
      </c>
      <c r="D148" s="2" t="s">
        <v>18</v>
      </c>
      <c r="E148" s="2" t="s">
        <v>19</v>
      </c>
      <c r="F148">
        <v>3240</v>
      </c>
      <c r="G148">
        <v>4760.8999999999996</v>
      </c>
      <c r="H148">
        <v>0.04</v>
      </c>
    </row>
    <row r="149" spans="1:8" x14ac:dyDescent="0.3">
      <c r="A149">
        <v>148</v>
      </c>
      <c r="B149" s="1">
        <v>45439</v>
      </c>
      <c r="C149" s="2" t="s">
        <v>8</v>
      </c>
      <c r="D149" s="2" t="s">
        <v>14</v>
      </c>
      <c r="E149" s="2" t="s">
        <v>10</v>
      </c>
      <c r="F149">
        <v>2060</v>
      </c>
      <c r="G149">
        <v>1561.75</v>
      </c>
      <c r="H149">
        <v>0.04</v>
      </c>
    </row>
    <row r="150" spans="1:8" x14ac:dyDescent="0.3">
      <c r="A150">
        <v>149</v>
      </c>
      <c r="B150" s="1">
        <v>45440</v>
      </c>
      <c r="C150" s="2" t="s">
        <v>11</v>
      </c>
      <c r="D150" s="2" t="s">
        <v>15</v>
      </c>
      <c r="E150" s="2" t="s">
        <v>13</v>
      </c>
      <c r="F150">
        <v>2938</v>
      </c>
      <c r="G150">
        <v>3398.49</v>
      </c>
      <c r="H150">
        <v>0.05</v>
      </c>
    </row>
    <row r="151" spans="1:8" x14ac:dyDescent="0.3">
      <c r="A151">
        <v>150</v>
      </c>
      <c r="B151" s="1">
        <v>45441</v>
      </c>
      <c r="C151" s="2" t="s">
        <v>11</v>
      </c>
      <c r="D151" s="2" t="s">
        <v>21</v>
      </c>
      <c r="E151" s="2" t="s">
        <v>16</v>
      </c>
      <c r="F151">
        <v>3639</v>
      </c>
      <c r="G151">
        <v>3002.87</v>
      </c>
      <c r="H151">
        <v>0.05</v>
      </c>
    </row>
    <row r="152" spans="1:8" x14ac:dyDescent="0.3">
      <c r="A152">
        <v>151</v>
      </c>
      <c r="B152" s="1">
        <v>45442</v>
      </c>
      <c r="C152" s="2" t="s">
        <v>17</v>
      </c>
      <c r="D152" s="2" t="s">
        <v>20</v>
      </c>
      <c r="E152" s="2" t="s">
        <v>13</v>
      </c>
      <c r="F152">
        <v>4089</v>
      </c>
      <c r="G152">
        <v>5207.2299999999996</v>
      </c>
      <c r="H152">
        <v>7.0000000000000007E-2</v>
      </c>
    </row>
    <row r="153" spans="1:8" x14ac:dyDescent="0.3">
      <c r="A153">
        <v>152</v>
      </c>
      <c r="B153" s="1">
        <v>45443</v>
      </c>
      <c r="C153" s="2" t="s">
        <v>11</v>
      </c>
      <c r="D153" s="2" t="s">
        <v>21</v>
      </c>
      <c r="E153" s="2" t="s">
        <v>19</v>
      </c>
      <c r="F153">
        <v>2024</v>
      </c>
      <c r="G153">
        <v>1276.8900000000001</v>
      </c>
      <c r="H153">
        <v>0.05</v>
      </c>
    </row>
    <row r="154" spans="1:8" x14ac:dyDescent="0.3">
      <c r="A154">
        <v>153</v>
      </c>
      <c r="B154" s="1">
        <v>45444</v>
      </c>
      <c r="C154" s="2" t="s">
        <v>8</v>
      </c>
      <c r="D154" s="2" t="s">
        <v>15</v>
      </c>
      <c r="E154" s="2" t="s">
        <v>16</v>
      </c>
      <c r="F154">
        <v>3062</v>
      </c>
      <c r="G154">
        <v>4500.59</v>
      </c>
      <c r="H154">
        <v>0.04</v>
      </c>
    </row>
    <row r="155" spans="1:8" x14ac:dyDescent="0.3">
      <c r="A155">
        <v>154</v>
      </c>
      <c r="B155" s="1">
        <v>45445</v>
      </c>
      <c r="C155" s="2" t="s">
        <v>8</v>
      </c>
      <c r="D155" s="2" t="s">
        <v>9</v>
      </c>
      <c r="E155" s="2" t="s">
        <v>13</v>
      </c>
      <c r="F155">
        <v>2130</v>
      </c>
      <c r="G155">
        <v>2031.57</v>
      </c>
      <c r="H155">
        <v>0.04</v>
      </c>
    </row>
    <row r="156" spans="1:8" x14ac:dyDescent="0.3">
      <c r="A156">
        <v>155</v>
      </c>
      <c r="B156" s="1">
        <v>45446</v>
      </c>
      <c r="C156" s="2" t="s">
        <v>11</v>
      </c>
      <c r="D156" s="2" t="s">
        <v>14</v>
      </c>
      <c r="E156" s="2" t="s">
        <v>16</v>
      </c>
      <c r="F156">
        <v>3252</v>
      </c>
      <c r="G156">
        <v>-100</v>
      </c>
      <c r="H156">
        <v>0.05</v>
      </c>
    </row>
    <row r="157" spans="1:8" x14ac:dyDescent="0.3">
      <c r="A157">
        <v>156</v>
      </c>
      <c r="B157" s="1">
        <v>45447</v>
      </c>
      <c r="C157" s="2" t="s">
        <v>8</v>
      </c>
      <c r="D157" s="2" t="s">
        <v>9</v>
      </c>
      <c r="E157" s="2" t="s">
        <v>19</v>
      </c>
      <c r="F157">
        <v>2107</v>
      </c>
      <c r="G157">
        <v>1208.3599999999999</v>
      </c>
      <c r="H157">
        <v>0.04</v>
      </c>
    </row>
    <row r="158" spans="1:8" x14ac:dyDescent="0.3">
      <c r="A158">
        <v>157</v>
      </c>
      <c r="B158" s="1">
        <v>45448</v>
      </c>
      <c r="C158" s="2" t="s">
        <v>8</v>
      </c>
      <c r="D158" s="2" t="s">
        <v>12</v>
      </c>
      <c r="E158" s="2" t="s">
        <v>10</v>
      </c>
      <c r="F158">
        <v>2171</v>
      </c>
      <c r="G158">
        <v>1454.04</v>
      </c>
      <c r="H158">
        <v>0.04</v>
      </c>
    </row>
    <row r="159" spans="1:8" x14ac:dyDescent="0.3">
      <c r="A159">
        <v>158</v>
      </c>
      <c r="B159" s="1">
        <v>45449</v>
      </c>
      <c r="C159" s="2" t="s">
        <v>11</v>
      </c>
      <c r="D159" s="2" t="s">
        <v>9</v>
      </c>
      <c r="E159" s="2" t="s">
        <v>19</v>
      </c>
      <c r="F159">
        <v>3458</v>
      </c>
      <c r="G159">
        <v>3526.38</v>
      </c>
      <c r="H159">
        <v>0.05</v>
      </c>
    </row>
    <row r="160" spans="1:8" x14ac:dyDescent="0.3">
      <c r="A160">
        <v>159</v>
      </c>
      <c r="B160" s="1">
        <v>45450</v>
      </c>
      <c r="C160" s="2" t="s">
        <v>11</v>
      </c>
      <c r="D160" s="2" t="s">
        <v>9</v>
      </c>
      <c r="E160" s="2" t="s">
        <v>19</v>
      </c>
      <c r="F160">
        <v>2101</v>
      </c>
      <c r="G160">
        <v>1758.54</v>
      </c>
      <c r="H160">
        <v>0.05</v>
      </c>
    </row>
    <row r="161" spans="1:8" x14ac:dyDescent="0.3">
      <c r="A161">
        <v>160</v>
      </c>
      <c r="B161" s="1">
        <v>45451</v>
      </c>
      <c r="C161" s="2" t="s">
        <v>8</v>
      </c>
      <c r="D161" s="2" t="s">
        <v>15</v>
      </c>
      <c r="E161" s="2" t="s">
        <v>19</v>
      </c>
      <c r="F161">
        <v>4913</v>
      </c>
      <c r="G161">
        <v>6528.8</v>
      </c>
      <c r="H161">
        <v>0.04</v>
      </c>
    </row>
    <row r="162" spans="1:8" x14ac:dyDescent="0.3">
      <c r="A162">
        <v>161</v>
      </c>
      <c r="B162" s="1">
        <v>45452</v>
      </c>
      <c r="C162" s="2" t="s">
        <v>8</v>
      </c>
      <c r="D162" s="2" t="s">
        <v>15</v>
      </c>
      <c r="E162" s="2" t="s">
        <v>19</v>
      </c>
      <c r="F162">
        <v>4571</v>
      </c>
      <c r="G162">
        <v>4255.09</v>
      </c>
      <c r="H162">
        <v>0.04</v>
      </c>
    </row>
    <row r="163" spans="1:8" x14ac:dyDescent="0.3">
      <c r="A163">
        <v>162</v>
      </c>
      <c r="B163" s="1">
        <v>45453</v>
      </c>
      <c r="C163" s="2" t="s">
        <v>8</v>
      </c>
      <c r="D163" s="2" t="s">
        <v>15</v>
      </c>
      <c r="E163" s="2" t="s">
        <v>10</v>
      </c>
      <c r="F163">
        <v>4322</v>
      </c>
      <c r="G163">
        <v>3235.94</v>
      </c>
      <c r="H163">
        <v>0.04</v>
      </c>
    </row>
    <row r="164" spans="1:8" x14ac:dyDescent="0.3">
      <c r="A164">
        <v>163</v>
      </c>
      <c r="B164" s="1">
        <v>45454</v>
      </c>
      <c r="C164" s="2" t="s">
        <v>17</v>
      </c>
      <c r="D164" s="2" t="s">
        <v>21</v>
      </c>
      <c r="E164" s="2" t="s">
        <v>10</v>
      </c>
      <c r="F164">
        <v>3636</v>
      </c>
      <c r="G164">
        <v>4061.94</v>
      </c>
      <c r="H164">
        <v>7.0000000000000007E-2</v>
      </c>
    </row>
    <row r="165" spans="1:8" x14ac:dyDescent="0.3">
      <c r="A165">
        <v>164</v>
      </c>
      <c r="B165" s="1">
        <v>45455</v>
      </c>
      <c r="C165" s="2" t="s">
        <v>17</v>
      </c>
      <c r="D165" s="2" t="s">
        <v>12</v>
      </c>
      <c r="E165" s="2" t="s">
        <v>16</v>
      </c>
      <c r="F165">
        <v>4864</v>
      </c>
      <c r="G165">
        <v>5869.76</v>
      </c>
      <c r="H165">
        <v>7.0000000000000007E-2</v>
      </c>
    </row>
    <row r="166" spans="1:8" x14ac:dyDescent="0.3">
      <c r="A166">
        <v>165</v>
      </c>
      <c r="B166" s="1">
        <v>45456</v>
      </c>
      <c r="C166" s="2" t="s">
        <v>17</v>
      </c>
      <c r="D166" s="2" t="s">
        <v>15</v>
      </c>
      <c r="E166" s="2" t="s">
        <v>13</v>
      </c>
      <c r="F166">
        <v>3040</v>
      </c>
      <c r="G166">
        <v>2027.81</v>
      </c>
      <c r="H166">
        <v>7.0000000000000007E-2</v>
      </c>
    </row>
    <row r="167" spans="1:8" x14ac:dyDescent="0.3">
      <c r="A167">
        <v>166</v>
      </c>
      <c r="B167" s="1">
        <v>45457</v>
      </c>
      <c r="C167" s="2" t="s">
        <v>11</v>
      </c>
      <c r="D167" s="2" t="s">
        <v>14</v>
      </c>
      <c r="E167" s="2" t="s">
        <v>10</v>
      </c>
      <c r="F167">
        <v>2329</v>
      </c>
      <c r="G167">
        <v>1554.89</v>
      </c>
      <c r="H167">
        <v>0.05</v>
      </c>
    </row>
    <row r="168" spans="1:8" x14ac:dyDescent="0.3">
      <c r="A168">
        <v>167</v>
      </c>
      <c r="B168" s="1">
        <v>45458</v>
      </c>
      <c r="C168" s="2" t="s">
        <v>17</v>
      </c>
      <c r="D168" s="2" t="s">
        <v>21</v>
      </c>
      <c r="E168" s="2" t="s">
        <v>10</v>
      </c>
      <c r="F168">
        <v>3520</v>
      </c>
      <c r="G168">
        <v>1889.08</v>
      </c>
      <c r="H168">
        <v>7.0000000000000007E-2</v>
      </c>
    </row>
    <row r="169" spans="1:8" x14ac:dyDescent="0.3">
      <c r="A169">
        <v>168</v>
      </c>
      <c r="B169" s="1">
        <v>45459</v>
      </c>
      <c r="C169" s="2" t="s">
        <v>11</v>
      </c>
      <c r="D169" s="2" t="s">
        <v>18</v>
      </c>
      <c r="E169" s="2" t="s">
        <v>13</v>
      </c>
      <c r="F169">
        <v>2011</v>
      </c>
      <c r="G169">
        <v>2486.4</v>
      </c>
      <c r="H169">
        <v>0.05</v>
      </c>
    </row>
    <row r="170" spans="1:8" x14ac:dyDescent="0.3">
      <c r="A170">
        <v>169</v>
      </c>
      <c r="B170" s="1">
        <v>45460</v>
      </c>
      <c r="C170" s="2" t="s">
        <v>11</v>
      </c>
      <c r="D170" s="2" t="s">
        <v>14</v>
      </c>
      <c r="E170" s="2" t="s">
        <v>10</v>
      </c>
      <c r="F170">
        <v>3341</v>
      </c>
      <c r="G170">
        <v>3888.27</v>
      </c>
      <c r="H170">
        <v>0.05</v>
      </c>
    </row>
    <row r="171" spans="1:8" x14ac:dyDescent="0.3">
      <c r="A171">
        <v>170</v>
      </c>
      <c r="B171" s="1">
        <v>45461</v>
      </c>
      <c r="C171" s="2" t="s">
        <v>17</v>
      </c>
      <c r="D171" s="2" t="s">
        <v>20</v>
      </c>
      <c r="E171" s="2" t="s">
        <v>19</v>
      </c>
      <c r="F171">
        <v>2215</v>
      </c>
      <c r="G171">
        <v>2158.81</v>
      </c>
      <c r="H171">
        <v>7.0000000000000007E-2</v>
      </c>
    </row>
    <row r="172" spans="1:8" x14ac:dyDescent="0.3">
      <c r="A172">
        <v>171</v>
      </c>
      <c r="B172" s="1">
        <v>45462</v>
      </c>
      <c r="C172" s="2" t="s">
        <v>17</v>
      </c>
      <c r="D172" s="2" t="s">
        <v>20</v>
      </c>
      <c r="E172" s="2" t="s">
        <v>19</v>
      </c>
      <c r="F172">
        <v>2338</v>
      </c>
      <c r="G172">
        <v>3142.67</v>
      </c>
      <c r="H172">
        <v>7.0000000000000007E-2</v>
      </c>
    </row>
    <row r="173" spans="1:8" x14ac:dyDescent="0.3">
      <c r="A173">
        <v>172</v>
      </c>
      <c r="B173" s="1">
        <v>45463</v>
      </c>
      <c r="C173" s="2" t="s">
        <v>17</v>
      </c>
      <c r="D173" s="2" t="s">
        <v>14</v>
      </c>
      <c r="E173" s="2" t="s">
        <v>13</v>
      </c>
      <c r="F173">
        <v>3799</v>
      </c>
      <c r="G173">
        <v>4960.24</v>
      </c>
      <c r="H173">
        <v>7.0000000000000007E-2</v>
      </c>
    </row>
    <row r="174" spans="1:8" x14ac:dyDescent="0.3">
      <c r="A174">
        <v>173</v>
      </c>
      <c r="B174" s="1">
        <v>45464</v>
      </c>
      <c r="C174" s="2" t="s">
        <v>8</v>
      </c>
      <c r="D174" s="2" t="s">
        <v>15</v>
      </c>
      <c r="E174" s="2" t="s">
        <v>16</v>
      </c>
      <c r="F174">
        <v>4708</v>
      </c>
      <c r="G174">
        <v>5109.8500000000004</v>
      </c>
      <c r="H174">
        <v>0.04</v>
      </c>
    </row>
    <row r="175" spans="1:8" x14ac:dyDescent="0.3">
      <c r="A175">
        <v>174</v>
      </c>
      <c r="B175" s="1">
        <v>45465</v>
      </c>
      <c r="C175" s="2" t="s">
        <v>17</v>
      </c>
      <c r="D175" s="2" t="s">
        <v>18</v>
      </c>
      <c r="E175" s="2" t="s">
        <v>16</v>
      </c>
      <c r="F175">
        <v>3750</v>
      </c>
      <c r="G175">
        <v>5131.0200000000004</v>
      </c>
      <c r="H175">
        <v>7.0000000000000007E-2</v>
      </c>
    </row>
    <row r="176" spans="1:8" x14ac:dyDescent="0.3">
      <c r="A176">
        <v>175</v>
      </c>
      <c r="B176" s="1">
        <v>45466</v>
      </c>
      <c r="C176" s="2" t="s">
        <v>8</v>
      </c>
      <c r="D176" s="2" t="s">
        <v>18</v>
      </c>
      <c r="E176" s="2" t="s">
        <v>13</v>
      </c>
      <c r="F176">
        <v>3508</v>
      </c>
      <c r="G176">
        <v>2476.09</v>
      </c>
      <c r="H176">
        <v>0.04</v>
      </c>
    </row>
    <row r="177" spans="1:8" x14ac:dyDescent="0.3">
      <c r="A177">
        <v>176</v>
      </c>
      <c r="B177" s="1">
        <v>45467</v>
      </c>
      <c r="C177" s="2" t="s">
        <v>11</v>
      </c>
      <c r="D177" s="2" t="s">
        <v>21</v>
      </c>
      <c r="E177" s="2" t="s">
        <v>13</v>
      </c>
      <c r="F177">
        <v>4421</v>
      </c>
      <c r="G177">
        <v>2705.3</v>
      </c>
      <c r="H177">
        <v>0.05</v>
      </c>
    </row>
    <row r="178" spans="1:8" x14ac:dyDescent="0.3">
      <c r="A178">
        <v>177</v>
      </c>
      <c r="B178" s="1">
        <v>45468</v>
      </c>
      <c r="C178" s="2" t="s">
        <v>8</v>
      </c>
      <c r="D178" s="2" t="s">
        <v>18</v>
      </c>
      <c r="E178" s="2" t="s">
        <v>19</v>
      </c>
      <c r="F178">
        <v>2709</v>
      </c>
      <c r="G178">
        <v>2085.25</v>
      </c>
      <c r="H178">
        <v>0.04</v>
      </c>
    </row>
    <row r="179" spans="1:8" x14ac:dyDescent="0.3">
      <c r="A179">
        <v>178</v>
      </c>
      <c r="B179" s="1">
        <v>45469</v>
      </c>
      <c r="C179" s="2" t="s">
        <v>17</v>
      </c>
      <c r="D179" s="2" t="s">
        <v>20</v>
      </c>
      <c r="E179" s="2" t="s">
        <v>16</v>
      </c>
      <c r="F179">
        <v>3223</v>
      </c>
      <c r="G179">
        <v>1795.49</v>
      </c>
      <c r="H179">
        <v>7.0000000000000007E-2</v>
      </c>
    </row>
    <row r="180" spans="1:8" x14ac:dyDescent="0.3">
      <c r="A180">
        <v>179</v>
      </c>
      <c r="B180" s="1">
        <v>45470</v>
      </c>
      <c r="C180" s="2" t="s">
        <v>11</v>
      </c>
      <c r="D180" s="2" t="s">
        <v>12</v>
      </c>
      <c r="E180" s="2" t="s">
        <v>10</v>
      </c>
      <c r="F180">
        <v>4513</v>
      </c>
      <c r="G180">
        <v>4653.67</v>
      </c>
      <c r="H180">
        <v>0.05</v>
      </c>
    </row>
    <row r="181" spans="1:8" x14ac:dyDescent="0.3">
      <c r="A181">
        <v>180</v>
      </c>
      <c r="B181" s="1">
        <v>45471</v>
      </c>
      <c r="C181" s="2" t="s">
        <v>11</v>
      </c>
      <c r="D181" s="2" t="s">
        <v>15</v>
      </c>
      <c r="E181" s="2" t="s">
        <v>19</v>
      </c>
      <c r="F181">
        <v>3112</v>
      </c>
      <c r="G181">
        <v>4470.72</v>
      </c>
      <c r="H181">
        <v>0.05</v>
      </c>
    </row>
    <row r="182" spans="1:8" x14ac:dyDescent="0.3">
      <c r="A182">
        <v>181</v>
      </c>
      <c r="B182" s="1">
        <v>45472</v>
      </c>
      <c r="C182" s="2" t="s">
        <v>11</v>
      </c>
      <c r="D182" s="2" t="s">
        <v>18</v>
      </c>
      <c r="E182" s="2" t="s">
        <v>13</v>
      </c>
      <c r="F182">
        <v>3291</v>
      </c>
      <c r="G182">
        <v>1774.98</v>
      </c>
      <c r="H182">
        <v>0.05</v>
      </c>
    </row>
    <row r="183" spans="1:8" x14ac:dyDescent="0.3">
      <c r="A183">
        <v>182</v>
      </c>
      <c r="B183" s="1">
        <v>45473</v>
      </c>
      <c r="C183" s="2" t="s">
        <v>8</v>
      </c>
      <c r="D183" s="2" t="s">
        <v>21</v>
      </c>
      <c r="E183" s="2" t="s">
        <v>16</v>
      </c>
      <c r="F183">
        <v>2488</v>
      </c>
      <c r="G183">
        <v>1547.81</v>
      </c>
      <c r="H183">
        <v>0.04</v>
      </c>
    </row>
    <row r="184" spans="1:8" x14ac:dyDescent="0.3">
      <c r="A184">
        <v>183</v>
      </c>
      <c r="B184" s="1">
        <v>45474</v>
      </c>
      <c r="C184" s="2" t="s">
        <v>17</v>
      </c>
      <c r="D184" s="2" t="s">
        <v>20</v>
      </c>
      <c r="E184" s="2" t="s">
        <v>10</v>
      </c>
      <c r="F184">
        <v>3561</v>
      </c>
      <c r="G184">
        <v>3390.78</v>
      </c>
      <c r="H184">
        <v>7.0000000000000007E-2</v>
      </c>
    </row>
    <row r="185" spans="1:8" x14ac:dyDescent="0.3">
      <c r="A185">
        <v>184</v>
      </c>
      <c r="B185" s="1">
        <v>45475</v>
      </c>
      <c r="C185" s="2" t="s">
        <v>11</v>
      </c>
      <c r="D185" s="2" t="s">
        <v>12</v>
      </c>
      <c r="E185" s="2" t="s">
        <v>10</v>
      </c>
      <c r="F185">
        <v>2046</v>
      </c>
      <c r="G185">
        <v>2933.71</v>
      </c>
      <c r="H185">
        <v>0.05</v>
      </c>
    </row>
    <row r="186" spans="1:8" x14ac:dyDescent="0.3">
      <c r="A186">
        <v>185</v>
      </c>
      <c r="B186" s="1">
        <v>45476</v>
      </c>
      <c r="C186" s="2" t="s">
        <v>11</v>
      </c>
      <c r="D186" s="2" t="s">
        <v>9</v>
      </c>
      <c r="E186" s="2" t="s">
        <v>19</v>
      </c>
      <c r="F186">
        <v>2777</v>
      </c>
      <c r="G186">
        <v>2266.4699999999998</v>
      </c>
      <c r="H186">
        <v>0.05</v>
      </c>
    </row>
    <row r="187" spans="1:8" x14ac:dyDescent="0.3">
      <c r="A187">
        <v>186</v>
      </c>
      <c r="B187" s="1">
        <v>45477</v>
      </c>
      <c r="C187" s="2" t="s">
        <v>11</v>
      </c>
      <c r="D187" s="2" t="s">
        <v>9</v>
      </c>
      <c r="E187" s="2" t="s">
        <v>16</v>
      </c>
      <c r="F187">
        <v>3039</v>
      </c>
      <c r="G187">
        <v>3060.99</v>
      </c>
      <c r="H187">
        <v>0.05</v>
      </c>
    </row>
    <row r="188" spans="1:8" x14ac:dyDescent="0.3">
      <c r="A188">
        <v>187</v>
      </c>
      <c r="B188" s="1">
        <v>45478</v>
      </c>
      <c r="C188" s="2" t="s">
        <v>8</v>
      </c>
      <c r="D188" s="2" t="s">
        <v>12</v>
      </c>
      <c r="E188" s="2" t="s">
        <v>16</v>
      </c>
      <c r="F188">
        <v>2710</v>
      </c>
      <c r="G188">
        <v>1467.66</v>
      </c>
      <c r="H188">
        <v>0.04</v>
      </c>
    </row>
    <row r="189" spans="1:8" x14ac:dyDescent="0.3">
      <c r="A189">
        <v>188</v>
      </c>
      <c r="B189" s="1">
        <v>45479</v>
      </c>
      <c r="C189" s="2" t="s">
        <v>8</v>
      </c>
      <c r="D189" s="2" t="s">
        <v>20</v>
      </c>
      <c r="E189" s="2" t="s">
        <v>13</v>
      </c>
      <c r="F189">
        <v>2400</v>
      </c>
      <c r="G189">
        <v>1556.02</v>
      </c>
      <c r="H189">
        <v>0.04</v>
      </c>
    </row>
    <row r="190" spans="1:8" x14ac:dyDescent="0.3">
      <c r="A190">
        <v>189</v>
      </c>
      <c r="B190" s="1">
        <v>45480</v>
      </c>
      <c r="C190" s="2" t="s">
        <v>17</v>
      </c>
      <c r="D190" s="2" t="s">
        <v>21</v>
      </c>
      <c r="E190" s="2" t="s">
        <v>16</v>
      </c>
      <c r="F190">
        <v>3817</v>
      </c>
      <c r="G190">
        <v>5674.47</v>
      </c>
      <c r="H190">
        <v>7.0000000000000007E-2</v>
      </c>
    </row>
    <row r="191" spans="1:8" x14ac:dyDescent="0.3">
      <c r="A191">
        <v>190</v>
      </c>
      <c r="B191" s="1">
        <v>45481</v>
      </c>
      <c r="C191" s="2" t="s">
        <v>8</v>
      </c>
      <c r="D191" s="2" t="s">
        <v>12</v>
      </c>
      <c r="E191" s="2" t="s">
        <v>16</v>
      </c>
      <c r="F191">
        <v>2249</v>
      </c>
      <c r="G191">
        <v>3295.05</v>
      </c>
      <c r="H191">
        <v>0.04</v>
      </c>
    </row>
    <row r="192" spans="1:8" x14ac:dyDescent="0.3">
      <c r="A192">
        <v>191</v>
      </c>
      <c r="B192" s="1">
        <v>45482</v>
      </c>
      <c r="C192" s="2" t="s">
        <v>11</v>
      </c>
      <c r="D192" s="2" t="s">
        <v>15</v>
      </c>
      <c r="E192" s="2" t="s">
        <v>19</v>
      </c>
      <c r="F192">
        <v>2390</v>
      </c>
      <c r="G192">
        <v>1206.81</v>
      </c>
      <c r="H192">
        <v>0.05</v>
      </c>
    </row>
    <row r="193" spans="1:8" x14ac:dyDescent="0.3">
      <c r="A193">
        <v>192</v>
      </c>
      <c r="B193" s="1">
        <v>45483</v>
      </c>
      <c r="C193" s="2" t="s">
        <v>17</v>
      </c>
      <c r="D193" s="2" t="s">
        <v>15</v>
      </c>
      <c r="E193" s="2" t="s">
        <v>16</v>
      </c>
      <c r="F193">
        <v>2334</v>
      </c>
      <c r="G193">
        <v>3388.53</v>
      </c>
      <c r="H193">
        <v>7.0000000000000007E-2</v>
      </c>
    </row>
    <row r="194" spans="1:8" x14ac:dyDescent="0.3">
      <c r="A194">
        <v>193</v>
      </c>
      <c r="B194" s="1">
        <v>45484</v>
      </c>
      <c r="C194" s="2" t="s">
        <v>11</v>
      </c>
      <c r="D194" s="2" t="s">
        <v>9</v>
      </c>
      <c r="E194" s="2" t="s">
        <v>10</v>
      </c>
      <c r="F194">
        <v>2628</v>
      </c>
      <c r="G194">
        <v>2993.61</v>
      </c>
      <c r="H194">
        <v>0.05</v>
      </c>
    </row>
    <row r="195" spans="1:8" x14ac:dyDescent="0.3">
      <c r="A195">
        <v>194</v>
      </c>
      <c r="B195" s="1">
        <v>45485</v>
      </c>
      <c r="C195" s="2" t="s">
        <v>11</v>
      </c>
      <c r="D195" s="2" t="s">
        <v>18</v>
      </c>
      <c r="E195" s="2" t="s">
        <v>19</v>
      </c>
      <c r="F195">
        <v>2136</v>
      </c>
      <c r="G195">
        <v>2921.87</v>
      </c>
      <c r="H195">
        <v>0.05</v>
      </c>
    </row>
    <row r="196" spans="1:8" x14ac:dyDescent="0.3">
      <c r="A196">
        <v>195</v>
      </c>
      <c r="B196" s="1">
        <v>45486</v>
      </c>
      <c r="C196" s="2" t="s">
        <v>8</v>
      </c>
      <c r="D196" s="2" t="s">
        <v>21</v>
      </c>
      <c r="E196" s="2" t="s">
        <v>19</v>
      </c>
      <c r="F196">
        <v>4930</v>
      </c>
      <c r="G196">
        <v>4706.87</v>
      </c>
      <c r="H196">
        <v>0.04</v>
      </c>
    </row>
    <row r="197" spans="1:8" x14ac:dyDescent="0.3">
      <c r="A197">
        <v>196</v>
      </c>
      <c r="B197" s="1">
        <v>45487</v>
      </c>
      <c r="C197" s="2" t="s">
        <v>17</v>
      </c>
      <c r="D197" s="2" t="s">
        <v>9</v>
      </c>
      <c r="E197" s="2" t="s">
        <v>13</v>
      </c>
      <c r="F197">
        <v>4735</v>
      </c>
      <c r="G197">
        <v>4808.8500000000004</v>
      </c>
      <c r="H197">
        <v>7.0000000000000007E-2</v>
      </c>
    </row>
    <row r="198" spans="1:8" x14ac:dyDescent="0.3">
      <c r="A198">
        <v>197</v>
      </c>
      <c r="B198" s="1">
        <v>45488</v>
      </c>
      <c r="C198" s="2" t="s">
        <v>8</v>
      </c>
      <c r="D198" s="2" t="s">
        <v>18</v>
      </c>
      <c r="E198" s="2" t="s">
        <v>16</v>
      </c>
      <c r="F198">
        <v>3521</v>
      </c>
      <c r="G198">
        <v>3481.73</v>
      </c>
      <c r="H198">
        <v>0.04</v>
      </c>
    </row>
    <row r="199" spans="1:8" x14ac:dyDescent="0.3">
      <c r="A199">
        <v>198</v>
      </c>
      <c r="B199" s="1">
        <v>45489</v>
      </c>
      <c r="C199" s="2" t="s">
        <v>8</v>
      </c>
      <c r="D199" s="2" t="s">
        <v>18</v>
      </c>
      <c r="E199" s="2" t="s">
        <v>13</v>
      </c>
      <c r="F199">
        <v>2826</v>
      </c>
      <c r="G199">
        <v>3297.56</v>
      </c>
      <c r="H199">
        <v>0.04</v>
      </c>
    </row>
    <row r="200" spans="1:8" x14ac:dyDescent="0.3">
      <c r="A200">
        <v>199</v>
      </c>
      <c r="B200" s="1">
        <v>45490</v>
      </c>
      <c r="C200" s="2" t="s">
        <v>17</v>
      </c>
      <c r="D200" s="2" t="s">
        <v>15</v>
      </c>
      <c r="E200" s="2" t="s">
        <v>10</v>
      </c>
      <c r="F200">
        <v>2726</v>
      </c>
      <c r="G200">
        <v>1743.69</v>
      </c>
      <c r="H200">
        <v>7.0000000000000007E-2</v>
      </c>
    </row>
    <row r="201" spans="1:8" x14ac:dyDescent="0.3">
      <c r="A201">
        <v>200</v>
      </c>
      <c r="B201" s="1">
        <v>45491</v>
      </c>
      <c r="C201" s="2" t="s">
        <v>11</v>
      </c>
      <c r="D201" s="2" t="s">
        <v>20</v>
      </c>
      <c r="E201" s="2" t="s">
        <v>19</v>
      </c>
      <c r="F201">
        <v>3500</v>
      </c>
      <c r="G201">
        <v>1854.91</v>
      </c>
      <c r="H201">
        <v>0.05</v>
      </c>
    </row>
    <row r="202" spans="1:8" x14ac:dyDescent="0.3">
      <c r="A202">
        <v>201</v>
      </c>
      <c r="B202" s="1">
        <v>45492</v>
      </c>
      <c r="C202" s="2" t="s">
        <v>11</v>
      </c>
      <c r="D202" s="2" t="s">
        <v>14</v>
      </c>
      <c r="E202" s="2" t="s">
        <v>19</v>
      </c>
      <c r="F202">
        <v>4641</v>
      </c>
      <c r="G202">
        <v>3749.6</v>
      </c>
      <c r="H202">
        <v>0.05</v>
      </c>
    </row>
    <row r="203" spans="1:8" x14ac:dyDescent="0.3">
      <c r="A203">
        <v>202</v>
      </c>
      <c r="B203" s="1">
        <v>45493</v>
      </c>
      <c r="C203" s="2" t="s">
        <v>17</v>
      </c>
      <c r="D203" s="2" t="s">
        <v>20</v>
      </c>
      <c r="E203" s="2" t="s">
        <v>19</v>
      </c>
      <c r="F203">
        <v>2989</v>
      </c>
      <c r="G203">
        <v>3600.79</v>
      </c>
      <c r="H203">
        <v>7.0000000000000007E-2</v>
      </c>
    </row>
    <row r="204" spans="1:8" x14ac:dyDescent="0.3">
      <c r="A204">
        <v>203</v>
      </c>
      <c r="B204" s="1">
        <v>45494</v>
      </c>
      <c r="C204" s="2" t="s">
        <v>11</v>
      </c>
      <c r="D204" s="2" t="s">
        <v>14</v>
      </c>
      <c r="E204" s="2" t="s">
        <v>10</v>
      </c>
      <c r="F204">
        <v>4419</v>
      </c>
      <c r="G204">
        <v>3101.49</v>
      </c>
      <c r="H204">
        <v>0.05</v>
      </c>
    </row>
    <row r="205" spans="1:8" x14ac:dyDescent="0.3">
      <c r="A205">
        <v>204</v>
      </c>
      <c r="B205" s="1">
        <v>45495</v>
      </c>
      <c r="C205" s="2" t="s">
        <v>17</v>
      </c>
      <c r="D205" s="2" t="s">
        <v>12</v>
      </c>
      <c r="E205" s="2" t="s">
        <v>10</v>
      </c>
      <c r="F205">
        <v>2934</v>
      </c>
      <c r="G205">
        <v>3442.85</v>
      </c>
      <c r="H205">
        <v>7.0000000000000007E-2</v>
      </c>
    </row>
    <row r="206" spans="1:8" x14ac:dyDescent="0.3">
      <c r="A206">
        <v>205</v>
      </c>
      <c r="B206" s="1">
        <v>45496</v>
      </c>
      <c r="C206" s="2" t="s">
        <v>17</v>
      </c>
      <c r="D206" s="2" t="s">
        <v>15</v>
      </c>
      <c r="E206" s="2" t="s">
        <v>13</v>
      </c>
      <c r="F206">
        <v>2401</v>
      </c>
      <c r="G206">
        <v>3529.26</v>
      </c>
      <c r="H206">
        <v>7.0000000000000007E-2</v>
      </c>
    </row>
    <row r="207" spans="1:8" x14ac:dyDescent="0.3">
      <c r="A207">
        <v>206</v>
      </c>
      <c r="B207" s="1">
        <v>45497</v>
      </c>
      <c r="C207" s="2" t="s">
        <v>8</v>
      </c>
      <c r="D207" s="2" t="s">
        <v>18</v>
      </c>
      <c r="E207" s="2" t="s">
        <v>13</v>
      </c>
      <c r="F207">
        <v>3466</v>
      </c>
      <c r="G207">
        <v>2058.46</v>
      </c>
      <c r="H207">
        <v>0.04</v>
      </c>
    </row>
    <row r="208" spans="1:8" x14ac:dyDescent="0.3">
      <c r="A208">
        <v>207</v>
      </c>
      <c r="B208" s="1">
        <v>45498</v>
      </c>
      <c r="C208" s="2" t="s">
        <v>17</v>
      </c>
      <c r="D208" s="2" t="s">
        <v>21</v>
      </c>
      <c r="E208" s="2" t="s">
        <v>13</v>
      </c>
      <c r="F208">
        <v>2614</v>
      </c>
      <c r="G208">
        <v>3065.18</v>
      </c>
      <c r="H208">
        <v>7.0000000000000007E-2</v>
      </c>
    </row>
    <row r="209" spans="1:8" x14ac:dyDescent="0.3">
      <c r="A209">
        <v>208</v>
      </c>
      <c r="B209" s="1">
        <v>45499</v>
      </c>
      <c r="C209" s="2" t="s">
        <v>8</v>
      </c>
      <c r="D209" s="2" t="s">
        <v>14</v>
      </c>
      <c r="E209" s="2" t="s">
        <v>16</v>
      </c>
      <c r="F209">
        <v>3296</v>
      </c>
      <c r="G209">
        <v>3110.6</v>
      </c>
      <c r="H209">
        <v>0.04</v>
      </c>
    </row>
    <row r="210" spans="1:8" x14ac:dyDescent="0.3">
      <c r="A210">
        <v>209</v>
      </c>
      <c r="B210" s="1">
        <v>45500</v>
      </c>
      <c r="C210" s="2" t="s">
        <v>11</v>
      </c>
      <c r="D210" s="2" t="s">
        <v>20</v>
      </c>
      <c r="E210" s="2" t="s">
        <v>19</v>
      </c>
      <c r="F210">
        <v>3182</v>
      </c>
      <c r="G210">
        <v>4353.43</v>
      </c>
      <c r="H210">
        <v>0.05</v>
      </c>
    </row>
    <row r="211" spans="1:8" x14ac:dyDescent="0.3">
      <c r="A211">
        <v>210</v>
      </c>
      <c r="B211" s="1">
        <v>45501</v>
      </c>
      <c r="C211" s="2" t="s">
        <v>11</v>
      </c>
      <c r="D211" s="2" t="s">
        <v>18</v>
      </c>
      <c r="E211" s="2" t="s">
        <v>19</v>
      </c>
      <c r="F211">
        <v>4667</v>
      </c>
      <c r="G211">
        <v>3160.26</v>
      </c>
      <c r="H211">
        <v>0.05</v>
      </c>
    </row>
    <row r="212" spans="1:8" x14ac:dyDescent="0.3">
      <c r="A212">
        <v>211</v>
      </c>
      <c r="B212" s="1">
        <v>45502</v>
      </c>
      <c r="C212" s="2" t="s">
        <v>11</v>
      </c>
      <c r="D212" s="2" t="s">
        <v>14</v>
      </c>
      <c r="E212" s="2" t="s">
        <v>13</v>
      </c>
      <c r="F212">
        <v>4235</v>
      </c>
      <c r="G212">
        <v>5050.7700000000004</v>
      </c>
      <c r="H212">
        <v>0.05</v>
      </c>
    </row>
    <row r="213" spans="1:8" x14ac:dyDescent="0.3">
      <c r="A213">
        <v>212</v>
      </c>
      <c r="B213" s="1">
        <v>45503</v>
      </c>
      <c r="C213" s="2" t="s">
        <v>11</v>
      </c>
      <c r="D213" s="2" t="s">
        <v>14</v>
      </c>
      <c r="E213" s="2" t="s">
        <v>19</v>
      </c>
      <c r="F213">
        <v>3121</v>
      </c>
      <c r="G213">
        <v>4176.26</v>
      </c>
      <c r="H213">
        <v>0.05</v>
      </c>
    </row>
    <row r="214" spans="1:8" x14ac:dyDescent="0.3">
      <c r="A214">
        <v>213</v>
      </c>
      <c r="B214" s="1">
        <v>45504</v>
      </c>
      <c r="C214" s="2" t="s">
        <v>8</v>
      </c>
      <c r="D214" s="2" t="s">
        <v>14</v>
      </c>
      <c r="E214" s="2" t="s">
        <v>13</v>
      </c>
      <c r="F214">
        <v>2130</v>
      </c>
      <c r="G214">
        <v>3077.03</v>
      </c>
      <c r="H214">
        <v>0.04</v>
      </c>
    </row>
    <row r="215" spans="1:8" x14ac:dyDescent="0.3">
      <c r="A215">
        <v>214</v>
      </c>
      <c r="B215" s="1">
        <v>45505</v>
      </c>
      <c r="C215" s="2" t="s">
        <v>11</v>
      </c>
      <c r="D215" s="2" t="s">
        <v>21</v>
      </c>
      <c r="E215" s="2" t="s">
        <v>16</v>
      </c>
      <c r="F215">
        <v>4852</v>
      </c>
      <c r="G215">
        <v>5741.12</v>
      </c>
      <c r="H215">
        <v>0.05</v>
      </c>
    </row>
    <row r="216" spans="1:8" x14ac:dyDescent="0.3">
      <c r="A216">
        <v>215</v>
      </c>
      <c r="B216" s="1">
        <v>45506</v>
      </c>
      <c r="C216" s="2" t="s">
        <v>17</v>
      </c>
      <c r="D216" s="2" t="s">
        <v>15</v>
      </c>
      <c r="E216" s="2" t="s">
        <v>16</v>
      </c>
      <c r="F216">
        <v>3194</v>
      </c>
      <c r="G216">
        <v>3184.98</v>
      </c>
      <c r="H216">
        <v>7.0000000000000007E-2</v>
      </c>
    </row>
    <row r="217" spans="1:8" x14ac:dyDescent="0.3">
      <c r="A217">
        <v>216</v>
      </c>
      <c r="B217" s="1">
        <v>45507</v>
      </c>
      <c r="C217" s="2" t="s">
        <v>17</v>
      </c>
      <c r="D217" s="2" t="s">
        <v>21</v>
      </c>
      <c r="E217" s="2" t="s">
        <v>10</v>
      </c>
      <c r="F217">
        <v>4983</v>
      </c>
      <c r="G217">
        <v>5570.23</v>
      </c>
      <c r="H217">
        <v>7.0000000000000007E-2</v>
      </c>
    </row>
    <row r="218" spans="1:8" x14ac:dyDescent="0.3">
      <c r="A218">
        <v>217</v>
      </c>
      <c r="B218" s="1">
        <v>45508</v>
      </c>
      <c r="C218" s="2" t="s">
        <v>17</v>
      </c>
      <c r="D218" s="2" t="s">
        <v>9</v>
      </c>
      <c r="E218" s="2" t="s">
        <v>16</v>
      </c>
      <c r="F218">
        <v>2182</v>
      </c>
      <c r="G218">
        <v>2986.95</v>
      </c>
      <c r="H218">
        <v>7.0000000000000007E-2</v>
      </c>
    </row>
    <row r="219" spans="1:8" x14ac:dyDescent="0.3">
      <c r="A219">
        <v>218</v>
      </c>
      <c r="B219" s="1">
        <v>45509</v>
      </c>
      <c r="C219" s="2" t="s">
        <v>8</v>
      </c>
      <c r="D219" s="2" t="s">
        <v>18</v>
      </c>
      <c r="E219" s="2" t="s">
        <v>13</v>
      </c>
      <c r="F219">
        <v>2363</v>
      </c>
      <c r="G219">
        <v>2529.85</v>
      </c>
      <c r="H219">
        <v>0.04</v>
      </c>
    </row>
    <row r="220" spans="1:8" x14ac:dyDescent="0.3">
      <c r="A220">
        <v>219</v>
      </c>
      <c r="B220" s="1">
        <v>45510</v>
      </c>
      <c r="C220" s="2" t="s">
        <v>11</v>
      </c>
      <c r="D220" s="2" t="s">
        <v>15</v>
      </c>
      <c r="E220" s="2" t="s">
        <v>16</v>
      </c>
      <c r="F220">
        <v>2038</v>
      </c>
      <c r="G220">
        <v>1080.93</v>
      </c>
      <c r="H220">
        <v>0.05</v>
      </c>
    </row>
    <row r="221" spans="1:8" x14ac:dyDescent="0.3">
      <c r="A221">
        <v>220</v>
      </c>
      <c r="B221" s="1">
        <v>45511</v>
      </c>
      <c r="C221" s="2" t="s">
        <v>11</v>
      </c>
      <c r="D221" s="2" t="s">
        <v>15</v>
      </c>
      <c r="E221" s="2" t="s">
        <v>10</v>
      </c>
      <c r="F221">
        <v>4544</v>
      </c>
      <c r="G221">
        <v>6502.23</v>
      </c>
      <c r="H221">
        <v>0.05</v>
      </c>
    </row>
    <row r="222" spans="1:8" x14ac:dyDescent="0.3">
      <c r="A222">
        <v>221</v>
      </c>
      <c r="B222" s="1">
        <v>45512</v>
      </c>
      <c r="C222" s="2" t="s">
        <v>11</v>
      </c>
      <c r="D222" s="2" t="s">
        <v>15</v>
      </c>
      <c r="E222" s="2" t="s">
        <v>19</v>
      </c>
      <c r="F222">
        <v>3372</v>
      </c>
      <c r="G222">
        <v>4011.08</v>
      </c>
      <c r="H222">
        <v>0.05</v>
      </c>
    </row>
    <row r="223" spans="1:8" x14ac:dyDescent="0.3">
      <c r="A223">
        <v>222</v>
      </c>
      <c r="B223" s="1">
        <v>45513</v>
      </c>
      <c r="C223" s="2" t="s">
        <v>8</v>
      </c>
      <c r="D223" s="2" t="s">
        <v>20</v>
      </c>
      <c r="E223" s="2" t="s">
        <v>13</v>
      </c>
      <c r="F223">
        <v>2920</v>
      </c>
      <c r="G223">
        <v>3435.42</v>
      </c>
      <c r="H223">
        <v>0.04</v>
      </c>
    </row>
    <row r="224" spans="1:8" x14ac:dyDescent="0.3">
      <c r="A224">
        <v>223</v>
      </c>
      <c r="B224" s="1">
        <v>45514</v>
      </c>
      <c r="C224" s="2" t="s">
        <v>17</v>
      </c>
      <c r="D224" s="2" t="s">
        <v>15</v>
      </c>
      <c r="E224" s="2" t="s">
        <v>19</v>
      </c>
      <c r="F224">
        <v>4769</v>
      </c>
      <c r="G224">
        <v>3413.05</v>
      </c>
      <c r="H224">
        <v>7.0000000000000007E-2</v>
      </c>
    </row>
    <row r="225" spans="1:8" x14ac:dyDescent="0.3">
      <c r="A225">
        <v>224</v>
      </c>
      <c r="B225" s="1">
        <v>45515</v>
      </c>
      <c r="C225" s="2" t="s">
        <v>17</v>
      </c>
      <c r="D225" s="2" t="s">
        <v>21</v>
      </c>
      <c r="E225" s="2" t="s">
        <v>10</v>
      </c>
      <c r="F225">
        <v>2015</v>
      </c>
      <c r="G225">
        <v>2335.15</v>
      </c>
      <c r="H225">
        <v>7.0000000000000007E-2</v>
      </c>
    </row>
    <row r="226" spans="1:8" x14ac:dyDescent="0.3">
      <c r="A226">
        <v>225</v>
      </c>
      <c r="B226" s="1">
        <v>45516</v>
      </c>
      <c r="C226" s="2" t="s">
        <v>11</v>
      </c>
      <c r="D226" s="2" t="s">
        <v>15</v>
      </c>
      <c r="E226" s="2" t="s">
        <v>10</v>
      </c>
      <c r="F226">
        <v>2492</v>
      </c>
      <c r="G226">
        <v>2227.5100000000002</v>
      </c>
      <c r="H226">
        <v>0.05</v>
      </c>
    </row>
    <row r="227" spans="1:8" x14ac:dyDescent="0.3">
      <c r="A227">
        <v>226</v>
      </c>
      <c r="B227" s="1">
        <v>45517</v>
      </c>
      <c r="C227" s="2" t="s">
        <v>17</v>
      </c>
      <c r="D227" s="2" t="s">
        <v>12</v>
      </c>
      <c r="E227" s="2" t="s">
        <v>10</v>
      </c>
      <c r="F227">
        <v>3449</v>
      </c>
      <c r="G227">
        <v>3970.6</v>
      </c>
      <c r="H227">
        <v>7.0000000000000007E-2</v>
      </c>
    </row>
    <row r="228" spans="1:8" x14ac:dyDescent="0.3">
      <c r="A228">
        <v>227</v>
      </c>
      <c r="B228" s="1">
        <v>45518</v>
      </c>
      <c r="C228" s="2" t="s">
        <v>17</v>
      </c>
      <c r="D228" s="2" t="s">
        <v>18</v>
      </c>
      <c r="E228" s="2" t="s">
        <v>19</v>
      </c>
      <c r="F228">
        <v>3131</v>
      </c>
      <c r="G228">
        <v>1899.24</v>
      </c>
      <c r="H228">
        <v>7.0000000000000007E-2</v>
      </c>
    </row>
    <row r="229" spans="1:8" x14ac:dyDescent="0.3">
      <c r="A229">
        <v>228</v>
      </c>
      <c r="B229" s="1">
        <v>45519</v>
      </c>
      <c r="C229" s="2" t="s">
        <v>8</v>
      </c>
      <c r="D229" s="2" t="s">
        <v>15</v>
      </c>
      <c r="E229" s="2" t="s">
        <v>19</v>
      </c>
      <c r="F229">
        <v>4941</v>
      </c>
      <c r="G229">
        <v>5720.91</v>
      </c>
      <c r="H229">
        <v>0.04</v>
      </c>
    </row>
    <row r="230" spans="1:8" x14ac:dyDescent="0.3">
      <c r="A230">
        <v>229</v>
      </c>
      <c r="B230" s="1">
        <v>45520</v>
      </c>
      <c r="C230" s="2" t="s">
        <v>8</v>
      </c>
      <c r="D230" s="2" t="s">
        <v>18</v>
      </c>
      <c r="E230" s="2" t="s">
        <v>19</v>
      </c>
      <c r="F230">
        <v>2310</v>
      </c>
      <c r="G230">
        <v>3463.65</v>
      </c>
      <c r="H230">
        <v>0.04</v>
      </c>
    </row>
    <row r="231" spans="1:8" x14ac:dyDescent="0.3">
      <c r="A231">
        <v>230</v>
      </c>
      <c r="B231" s="1">
        <v>45521</v>
      </c>
      <c r="C231" s="2" t="s">
        <v>8</v>
      </c>
      <c r="D231" s="2" t="s">
        <v>12</v>
      </c>
      <c r="E231" s="2" t="s">
        <v>19</v>
      </c>
      <c r="F231">
        <v>2738</v>
      </c>
      <c r="G231">
        <v>1501</v>
      </c>
      <c r="H231">
        <v>0.04</v>
      </c>
    </row>
    <row r="232" spans="1:8" x14ac:dyDescent="0.3">
      <c r="A232">
        <v>231</v>
      </c>
      <c r="B232" s="1">
        <v>45522</v>
      </c>
      <c r="C232" s="2" t="s">
        <v>8</v>
      </c>
      <c r="D232" s="2" t="s">
        <v>12</v>
      </c>
      <c r="E232" s="2" t="s">
        <v>10</v>
      </c>
      <c r="F232">
        <v>2545</v>
      </c>
      <c r="G232">
        <v>3759.41</v>
      </c>
      <c r="H232">
        <v>0.04</v>
      </c>
    </row>
    <row r="233" spans="1:8" x14ac:dyDescent="0.3">
      <c r="A233">
        <v>232</v>
      </c>
      <c r="B233" s="1">
        <v>45523</v>
      </c>
      <c r="C233" s="2" t="s">
        <v>11</v>
      </c>
      <c r="D233" s="2" t="s">
        <v>18</v>
      </c>
      <c r="E233" s="2" t="s">
        <v>10</v>
      </c>
      <c r="F233">
        <v>4461</v>
      </c>
      <c r="G233">
        <v>4045.72</v>
      </c>
      <c r="H233">
        <v>0.05</v>
      </c>
    </row>
    <row r="234" spans="1:8" x14ac:dyDescent="0.3">
      <c r="A234">
        <v>233</v>
      </c>
      <c r="B234" s="1">
        <v>45524</v>
      </c>
      <c r="C234" s="2" t="s">
        <v>8</v>
      </c>
      <c r="D234" s="2" t="s">
        <v>14</v>
      </c>
      <c r="E234" s="2" t="s">
        <v>13</v>
      </c>
      <c r="F234">
        <v>2250</v>
      </c>
      <c r="G234">
        <v>3084.2</v>
      </c>
      <c r="H234">
        <v>0.04</v>
      </c>
    </row>
    <row r="235" spans="1:8" x14ac:dyDescent="0.3">
      <c r="A235">
        <v>234</v>
      </c>
      <c r="B235" s="1">
        <v>45525</v>
      </c>
      <c r="C235" s="2" t="s">
        <v>17</v>
      </c>
      <c r="D235" s="2" t="s">
        <v>9</v>
      </c>
      <c r="E235" s="2" t="s">
        <v>13</v>
      </c>
      <c r="F235">
        <v>2758</v>
      </c>
      <c r="G235">
        <v>3536.82</v>
      </c>
      <c r="H235">
        <v>7.0000000000000007E-2</v>
      </c>
    </row>
    <row r="236" spans="1:8" x14ac:dyDescent="0.3">
      <c r="A236">
        <v>235</v>
      </c>
      <c r="B236" s="1">
        <v>45526</v>
      </c>
      <c r="C236" s="2" t="s">
        <v>11</v>
      </c>
      <c r="D236" s="2" t="s">
        <v>20</v>
      </c>
      <c r="E236" s="2" t="s">
        <v>19</v>
      </c>
      <c r="F236">
        <v>3804</v>
      </c>
      <c r="G236">
        <v>4058.93</v>
      </c>
      <c r="H236">
        <v>0.05</v>
      </c>
    </row>
    <row r="237" spans="1:8" x14ac:dyDescent="0.3">
      <c r="A237">
        <v>236</v>
      </c>
      <c r="B237" s="1">
        <v>45527</v>
      </c>
      <c r="C237" s="2" t="s">
        <v>17</v>
      </c>
      <c r="D237" s="2" t="s">
        <v>14</v>
      </c>
      <c r="E237" s="2" t="s">
        <v>16</v>
      </c>
      <c r="F237">
        <v>3297</v>
      </c>
      <c r="G237">
        <v>4083.17</v>
      </c>
      <c r="H237">
        <v>7.0000000000000007E-2</v>
      </c>
    </row>
    <row r="238" spans="1:8" x14ac:dyDescent="0.3">
      <c r="A238">
        <v>237</v>
      </c>
      <c r="B238" s="1">
        <v>45528</v>
      </c>
      <c r="C238" s="2" t="s">
        <v>17</v>
      </c>
      <c r="D238" s="2" t="s">
        <v>14</v>
      </c>
      <c r="E238" s="2" t="s">
        <v>16</v>
      </c>
      <c r="F238">
        <v>3631</v>
      </c>
      <c r="G238">
        <v>5005.3900000000003</v>
      </c>
      <c r="H238">
        <v>7.0000000000000007E-2</v>
      </c>
    </row>
    <row r="239" spans="1:8" x14ac:dyDescent="0.3">
      <c r="A239">
        <v>238</v>
      </c>
      <c r="B239" s="1">
        <v>45529</v>
      </c>
      <c r="C239" s="2" t="s">
        <v>17</v>
      </c>
      <c r="D239" s="2" t="s">
        <v>21</v>
      </c>
      <c r="E239" s="2" t="s">
        <v>10</v>
      </c>
      <c r="F239">
        <v>3914</v>
      </c>
      <c r="G239">
        <v>3538.81</v>
      </c>
      <c r="H239">
        <v>7.0000000000000007E-2</v>
      </c>
    </row>
    <row r="240" spans="1:8" x14ac:dyDescent="0.3">
      <c r="A240">
        <v>239</v>
      </c>
      <c r="B240" s="1">
        <v>45530</v>
      </c>
      <c r="C240" s="2" t="s">
        <v>8</v>
      </c>
      <c r="D240" s="2" t="s">
        <v>20</v>
      </c>
      <c r="E240" s="2" t="s">
        <v>10</v>
      </c>
      <c r="F240">
        <v>2813</v>
      </c>
      <c r="G240">
        <v>2326.44</v>
      </c>
      <c r="H240">
        <v>0.04</v>
      </c>
    </row>
    <row r="241" spans="1:8" x14ac:dyDescent="0.3">
      <c r="A241">
        <v>240</v>
      </c>
      <c r="B241" s="1">
        <v>45531</v>
      </c>
      <c r="C241" s="2" t="s">
        <v>8</v>
      </c>
      <c r="D241" s="2" t="s">
        <v>20</v>
      </c>
      <c r="E241" s="2" t="s">
        <v>10</v>
      </c>
      <c r="F241">
        <v>2028</v>
      </c>
      <c r="G241">
        <v>2367.88</v>
      </c>
      <c r="H241">
        <v>0.04</v>
      </c>
    </row>
    <row r="242" spans="1:8" x14ac:dyDescent="0.3">
      <c r="A242">
        <v>241</v>
      </c>
      <c r="B242" s="1">
        <v>45532</v>
      </c>
      <c r="C242" s="2" t="s">
        <v>11</v>
      </c>
      <c r="D242" s="2" t="s">
        <v>14</v>
      </c>
      <c r="E242" s="2" t="s">
        <v>13</v>
      </c>
      <c r="F242">
        <v>2957</v>
      </c>
      <c r="G242">
        <v>-100</v>
      </c>
      <c r="H242">
        <v>0.05</v>
      </c>
    </row>
    <row r="243" spans="1:8" x14ac:dyDescent="0.3">
      <c r="A243">
        <v>242</v>
      </c>
      <c r="B243" s="1">
        <v>45533</v>
      </c>
      <c r="C243" s="2" t="s">
        <v>11</v>
      </c>
      <c r="D243" s="2" t="s">
        <v>15</v>
      </c>
      <c r="E243" s="2" t="s">
        <v>13</v>
      </c>
      <c r="F243">
        <v>4032</v>
      </c>
      <c r="G243">
        <v>5089.53</v>
      </c>
      <c r="H243">
        <v>0.05</v>
      </c>
    </row>
    <row r="244" spans="1:8" x14ac:dyDescent="0.3">
      <c r="A244">
        <v>243</v>
      </c>
      <c r="B244" s="1">
        <v>45534</v>
      </c>
      <c r="C244" s="2" t="s">
        <v>8</v>
      </c>
      <c r="D244" s="2" t="s">
        <v>21</v>
      </c>
      <c r="E244" s="2" t="s">
        <v>10</v>
      </c>
      <c r="F244">
        <v>2476</v>
      </c>
      <c r="G244">
        <v>3213.39</v>
      </c>
      <c r="H244">
        <v>0.04</v>
      </c>
    </row>
    <row r="245" spans="1:8" x14ac:dyDescent="0.3">
      <c r="A245">
        <v>244</v>
      </c>
      <c r="B245" s="1">
        <v>45535</v>
      </c>
      <c r="C245" s="2" t="s">
        <v>17</v>
      </c>
      <c r="D245" s="2" t="s">
        <v>21</v>
      </c>
      <c r="E245" s="2" t="s">
        <v>10</v>
      </c>
      <c r="F245">
        <v>2317</v>
      </c>
      <c r="G245">
        <v>2167.75</v>
      </c>
      <c r="H245">
        <v>7.0000000000000007E-2</v>
      </c>
    </row>
    <row r="246" spans="1:8" x14ac:dyDescent="0.3">
      <c r="A246">
        <v>245</v>
      </c>
      <c r="B246" s="1">
        <v>45536</v>
      </c>
      <c r="C246" s="2" t="s">
        <v>11</v>
      </c>
      <c r="D246" s="2" t="s">
        <v>12</v>
      </c>
      <c r="E246" s="2" t="s">
        <v>10</v>
      </c>
      <c r="F246">
        <v>2244</v>
      </c>
      <c r="G246">
        <v>2957.22</v>
      </c>
      <c r="H246">
        <v>0.05</v>
      </c>
    </row>
    <row r="247" spans="1:8" x14ac:dyDescent="0.3">
      <c r="A247">
        <v>246</v>
      </c>
      <c r="B247" s="1">
        <v>45537</v>
      </c>
      <c r="C247" s="2" t="s">
        <v>8</v>
      </c>
      <c r="D247" s="2" t="s">
        <v>20</v>
      </c>
      <c r="E247" s="2" t="s">
        <v>16</v>
      </c>
      <c r="F247">
        <v>2747</v>
      </c>
      <c r="G247">
        <v>1703.71</v>
      </c>
      <c r="H247">
        <v>0.04</v>
      </c>
    </row>
    <row r="248" spans="1:8" x14ac:dyDescent="0.3">
      <c r="A248">
        <v>247</v>
      </c>
      <c r="B248" s="1">
        <v>45538</v>
      </c>
      <c r="C248" s="2" t="s">
        <v>8</v>
      </c>
      <c r="D248" s="2" t="s">
        <v>14</v>
      </c>
      <c r="E248" s="2" t="s">
        <v>13</v>
      </c>
      <c r="F248">
        <v>2696</v>
      </c>
      <c r="G248">
        <v>2815.94</v>
      </c>
      <c r="H248">
        <v>0.04</v>
      </c>
    </row>
    <row r="249" spans="1:8" x14ac:dyDescent="0.3">
      <c r="A249">
        <v>248</v>
      </c>
      <c r="B249" s="1">
        <v>45539</v>
      </c>
      <c r="C249" s="2" t="s">
        <v>8</v>
      </c>
      <c r="D249" s="2" t="s">
        <v>12</v>
      </c>
      <c r="E249" s="2" t="s">
        <v>16</v>
      </c>
      <c r="F249">
        <v>2271</v>
      </c>
      <c r="G249">
        <v>1148.58</v>
      </c>
      <c r="H249">
        <v>0.04</v>
      </c>
    </row>
    <row r="250" spans="1:8" x14ac:dyDescent="0.3">
      <c r="A250">
        <v>249</v>
      </c>
      <c r="B250" s="1">
        <v>45540</v>
      </c>
      <c r="C250" s="2" t="s">
        <v>17</v>
      </c>
      <c r="D250" s="2" t="s">
        <v>18</v>
      </c>
      <c r="E250" s="2" t="s">
        <v>16</v>
      </c>
      <c r="F250">
        <v>3771</v>
      </c>
      <c r="G250">
        <v>3109.51</v>
      </c>
      <c r="H250">
        <v>7.0000000000000007E-2</v>
      </c>
    </row>
    <row r="251" spans="1:8" x14ac:dyDescent="0.3">
      <c r="A251">
        <v>250</v>
      </c>
      <c r="B251" s="1">
        <v>45541</v>
      </c>
      <c r="C251" s="2" t="s">
        <v>8</v>
      </c>
      <c r="D251" s="2" t="s">
        <v>9</v>
      </c>
      <c r="E251" s="2" t="s">
        <v>10</v>
      </c>
      <c r="F251">
        <v>3262</v>
      </c>
      <c r="G251">
        <v>2826.4</v>
      </c>
      <c r="H251">
        <v>0.04</v>
      </c>
    </row>
    <row r="252" spans="1:8" x14ac:dyDescent="0.3">
      <c r="A252">
        <v>251</v>
      </c>
      <c r="B252" s="1">
        <v>45542</v>
      </c>
      <c r="C252" s="2" t="s">
        <v>8</v>
      </c>
      <c r="D252" s="2" t="s">
        <v>21</v>
      </c>
      <c r="E252" s="2" t="s">
        <v>10</v>
      </c>
      <c r="F252">
        <v>4424</v>
      </c>
      <c r="G252">
        <v>3964.67</v>
      </c>
      <c r="H252">
        <v>0.04</v>
      </c>
    </row>
    <row r="253" spans="1:8" x14ac:dyDescent="0.3">
      <c r="A253">
        <v>252</v>
      </c>
      <c r="B253" s="1">
        <v>45543</v>
      </c>
      <c r="C253" s="2" t="s">
        <v>8</v>
      </c>
      <c r="D253" s="2" t="s">
        <v>18</v>
      </c>
      <c r="E253" s="2" t="s">
        <v>19</v>
      </c>
      <c r="F253">
        <v>2265</v>
      </c>
      <c r="G253">
        <v>2707.73</v>
      </c>
      <c r="H253">
        <v>0.04</v>
      </c>
    </row>
    <row r="254" spans="1:8" x14ac:dyDescent="0.3">
      <c r="A254">
        <v>253</v>
      </c>
      <c r="B254" s="1">
        <v>45544</v>
      </c>
      <c r="C254" s="2" t="s">
        <v>8</v>
      </c>
      <c r="D254" s="2" t="s">
        <v>18</v>
      </c>
      <c r="E254" s="2" t="s">
        <v>19</v>
      </c>
      <c r="F254">
        <v>4973</v>
      </c>
      <c r="G254">
        <v>4418.8</v>
      </c>
      <c r="H254">
        <v>0.04</v>
      </c>
    </row>
    <row r="255" spans="1:8" x14ac:dyDescent="0.3">
      <c r="A255">
        <v>254</v>
      </c>
      <c r="B255" s="1">
        <v>45545</v>
      </c>
      <c r="C255" s="2" t="s">
        <v>11</v>
      </c>
      <c r="D255" s="2" t="s">
        <v>15</v>
      </c>
      <c r="E255" s="2" t="s">
        <v>16</v>
      </c>
      <c r="F255">
        <v>2920</v>
      </c>
      <c r="G255">
        <v>2770.19</v>
      </c>
      <c r="H255">
        <v>0.05</v>
      </c>
    </row>
    <row r="256" spans="1:8" x14ac:dyDescent="0.3">
      <c r="A256">
        <v>255</v>
      </c>
      <c r="B256" s="1">
        <v>45546</v>
      </c>
      <c r="C256" s="2" t="s">
        <v>11</v>
      </c>
      <c r="D256" s="2" t="s">
        <v>9</v>
      </c>
      <c r="E256" s="2" t="s">
        <v>13</v>
      </c>
      <c r="F256">
        <v>2339</v>
      </c>
      <c r="G256">
        <v>1725.12</v>
      </c>
      <c r="H256">
        <v>0.05</v>
      </c>
    </row>
    <row r="257" spans="1:8" x14ac:dyDescent="0.3">
      <c r="A257">
        <v>256</v>
      </c>
      <c r="B257" s="1">
        <v>45547</v>
      </c>
      <c r="C257" s="2" t="s">
        <v>8</v>
      </c>
      <c r="D257" s="2" t="s">
        <v>18</v>
      </c>
      <c r="E257" s="2" t="s">
        <v>10</v>
      </c>
      <c r="F257">
        <v>2388</v>
      </c>
      <c r="G257">
        <v>2085.33</v>
      </c>
      <c r="H257">
        <v>0.04</v>
      </c>
    </row>
    <row r="258" spans="1:8" x14ac:dyDescent="0.3">
      <c r="A258">
        <v>257</v>
      </c>
      <c r="B258" s="1">
        <v>45548</v>
      </c>
      <c r="C258" s="2" t="s">
        <v>17</v>
      </c>
      <c r="D258" s="2" t="s">
        <v>18</v>
      </c>
      <c r="E258" s="2" t="s">
        <v>10</v>
      </c>
      <c r="F258">
        <v>4624</v>
      </c>
      <c r="G258">
        <v>3362.89</v>
      </c>
      <c r="H258">
        <v>7.0000000000000007E-2</v>
      </c>
    </row>
    <row r="259" spans="1:8" x14ac:dyDescent="0.3">
      <c r="A259">
        <v>258</v>
      </c>
      <c r="B259" s="1">
        <v>45549</v>
      </c>
      <c r="C259" s="2" t="s">
        <v>11</v>
      </c>
      <c r="D259" s="2" t="s">
        <v>9</v>
      </c>
      <c r="E259" s="2" t="s">
        <v>16</v>
      </c>
      <c r="F259">
        <v>4050</v>
      </c>
      <c r="G259">
        <v>2321.44</v>
      </c>
      <c r="H259">
        <v>0.05</v>
      </c>
    </row>
    <row r="260" spans="1:8" x14ac:dyDescent="0.3">
      <c r="A260">
        <v>259</v>
      </c>
      <c r="B260" s="1">
        <v>45550</v>
      </c>
      <c r="C260" s="2" t="s">
        <v>8</v>
      </c>
      <c r="D260" s="2" t="s">
        <v>9</v>
      </c>
      <c r="E260" s="2" t="s">
        <v>19</v>
      </c>
      <c r="F260">
        <v>3165</v>
      </c>
      <c r="G260">
        <v>3492.41</v>
      </c>
      <c r="H260">
        <v>0.04</v>
      </c>
    </row>
    <row r="261" spans="1:8" x14ac:dyDescent="0.3">
      <c r="A261">
        <v>260</v>
      </c>
      <c r="B261" s="1">
        <v>45551</v>
      </c>
      <c r="C261" s="2" t="s">
        <v>11</v>
      </c>
      <c r="D261" s="2" t="s">
        <v>18</v>
      </c>
      <c r="E261" s="2" t="s">
        <v>13</v>
      </c>
      <c r="F261">
        <v>2375</v>
      </c>
      <c r="G261">
        <v>2774.51</v>
      </c>
      <c r="H261">
        <v>0.05</v>
      </c>
    </row>
    <row r="262" spans="1:8" x14ac:dyDescent="0.3">
      <c r="A262">
        <v>261</v>
      </c>
      <c r="B262" s="1">
        <v>45552</v>
      </c>
      <c r="C262" s="2" t="s">
        <v>11</v>
      </c>
      <c r="D262" s="2" t="s">
        <v>9</v>
      </c>
      <c r="E262" s="2" t="s">
        <v>19</v>
      </c>
      <c r="F262">
        <v>4033</v>
      </c>
      <c r="G262">
        <v>4514.8999999999996</v>
      </c>
      <c r="H262">
        <v>0.05</v>
      </c>
    </row>
    <row r="263" spans="1:8" x14ac:dyDescent="0.3">
      <c r="A263">
        <v>262</v>
      </c>
      <c r="B263" s="1">
        <v>45553</v>
      </c>
      <c r="C263" s="2" t="s">
        <v>17</v>
      </c>
      <c r="D263" s="2" t="s">
        <v>18</v>
      </c>
      <c r="E263" s="2" t="s">
        <v>19</v>
      </c>
      <c r="F263">
        <v>4371</v>
      </c>
      <c r="G263">
        <v>4211.43</v>
      </c>
      <c r="H263">
        <v>7.0000000000000007E-2</v>
      </c>
    </row>
    <row r="264" spans="1:8" x14ac:dyDescent="0.3">
      <c r="A264">
        <v>263</v>
      </c>
      <c r="B264" s="1">
        <v>45554</v>
      </c>
      <c r="C264" s="2" t="s">
        <v>8</v>
      </c>
      <c r="D264" s="2" t="s">
        <v>18</v>
      </c>
      <c r="E264" s="2" t="s">
        <v>19</v>
      </c>
      <c r="F264">
        <v>2145</v>
      </c>
      <c r="G264">
        <v>1887.14</v>
      </c>
      <c r="H264">
        <v>0.04</v>
      </c>
    </row>
    <row r="265" spans="1:8" x14ac:dyDescent="0.3">
      <c r="A265">
        <v>264</v>
      </c>
      <c r="B265" s="1">
        <v>45555</v>
      </c>
      <c r="C265" s="2" t="s">
        <v>8</v>
      </c>
      <c r="D265" s="2" t="s">
        <v>15</v>
      </c>
      <c r="E265" s="2" t="s">
        <v>19</v>
      </c>
      <c r="F265">
        <v>3981</v>
      </c>
      <c r="G265">
        <v>5427.43</v>
      </c>
      <c r="H265">
        <v>0.04</v>
      </c>
    </row>
    <row r="266" spans="1:8" x14ac:dyDescent="0.3">
      <c r="A266">
        <v>265</v>
      </c>
      <c r="B266" s="1">
        <v>45556</v>
      </c>
      <c r="C266" s="2" t="s">
        <v>17</v>
      </c>
      <c r="D266" s="2" t="s">
        <v>14</v>
      </c>
      <c r="E266" s="2" t="s">
        <v>10</v>
      </c>
      <c r="F266">
        <v>2292</v>
      </c>
      <c r="G266">
        <v>2335.7399999999998</v>
      </c>
      <c r="H266">
        <v>7.0000000000000007E-2</v>
      </c>
    </row>
    <row r="267" spans="1:8" x14ac:dyDescent="0.3">
      <c r="A267">
        <v>266</v>
      </c>
      <c r="B267" s="1">
        <v>45557</v>
      </c>
      <c r="C267" s="2" t="s">
        <v>17</v>
      </c>
      <c r="D267" s="2" t="s">
        <v>18</v>
      </c>
      <c r="E267" s="2" t="s">
        <v>10</v>
      </c>
      <c r="F267">
        <v>2431</v>
      </c>
      <c r="G267">
        <v>2380.39</v>
      </c>
      <c r="H267">
        <v>7.0000000000000007E-2</v>
      </c>
    </row>
    <row r="268" spans="1:8" x14ac:dyDescent="0.3">
      <c r="A268">
        <v>267</v>
      </c>
      <c r="B268" s="1">
        <v>45558</v>
      </c>
      <c r="C268" s="2" t="s">
        <v>8</v>
      </c>
      <c r="D268" s="2" t="s">
        <v>12</v>
      </c>
      <c r="E268" s="2" t="s">
        <v>19</v>
      </c>
      <c r="F268">
        <v>2704</v>
      </c>
      <c r="H268">
        <v>0.04</v>
      </c>
    </row>
    <row r="269" spans="1:8" x14ac:dyDescent="0.3">
      <c r="A269">
        <v>268</v>
      </c>
      <c r="B269" s="1">
        <v>45559</v>
      </c>
      <c r="C269" s="2" t="s">
        <v>8</v>
      </c>
      <c r="D269" s="2" t="s">
        <v>21</v>
      </c>
      <c r="E269" s="2" t="s">
        <v>13</v>
      </c>
      <c r="F269">
        <v>4996</v>
      </c>
      <c r="G269">
        <v>4202.87</v>
      </c>
      <c r="H269">
        <v>0.04</v>
      </c>
    </row>
    <row r="270" spans="1:8" x14ac:dyDescent="0.3">
      <c r="A270">
        <v>269</v>
      </c>
      <c r="B270" s="1">
        <v>45560</v>
      </c>
      <c r="C270" s="2" t="s">
        <v>17</v>
      </c>
      <c r="D270" s="2" t="s">
        <v>20</v>
      </c>
      <c r="E270" s="2" t="s">
        <v>16</v>
      </c>
      <c r="F270">
        <v>3998</v>
      </c>
      <c r="G270">
        <v>3519.02</v>
      </c>
      <c r="H270">
        <v>7.0000000000000007E-2</v>
      </c>
    </row>
    <row r="271" spans="1:8" x14ac:dyDescent="0.3">
      <c r="A271">
        <v>270</v>
      </c>
      <c r="B271" s="1">
        <v>45561</v>
      </c>
      <c r="C271" s="2" t="s">
        <v>11</v>
      </c>
      <c r="D271" s="2" t="s">
        <v>14</v>
      </c>
      <c r="E271" s="2" t="s">
        <v>13</v>
      </c>
      <c r="F271">
        <v>4632</v>
      </c>
      <c r="G271">
        <v>4163.3500000000004</v>
      </c>
      <c r="H271">
        <v>0.05</v>
      </c>
    </row>
    <row r="272" spans="1:8" x14ac:dyDescent="0.3">
      <c r="A272">
        <v>271</v>
      </c>
      <c r="B272" s="1">
        <v>45562</v>
      </c>
      <c r="C272" s="2" t="s">
        <v>11</v>
      </c>
      <c r="D272" s="2" t="s">
        <v>14</v>
      </c>
      <c r="E272" s="2" t="s">
        <v>13</v>
      </c>
      <c r="F272">
        <v>2398</v>
      </c>
      <c r="G272">
        <v>2590.25</v>
      </c>
      <c r="H272">
        <v>0.05</v>
      </c>
    </row>
    <row r="273" spans="1:8" x14ac:dyDescent="0.3">
      <c r="A273">
        <v>272</v>
      </c>
      <c r="B273" s="1">
        <v>45563</v>
      </c>
      <c r="C273" s="2" t="s">
        <v>17</v>
      </c>
      <c r="D273" s="2" t="s">
        <v>14</v>
      </c>
      <c r="E273" s="2" t="s">
        <v>13</v>
      </c>
      <c r="F273">
        <v>4864</v>
      </c>
      <c r="G273">
        <v>5027.4399999999996</v>
      </c>
      <c r="H273">
        <v>7.0000000000000007E-2</v>
      </c>
    </row>
    <row r="274" spans="1:8" x14ac:dyDescent="0.3">
      <c r="A274">
        <v>273</v>
      </c>
      <c r="B274" s="1">
        <v>45564</v>
      </c>
      <c r="C274" s="2" t="s">
        <v>11</v>
      </c>
      <c r="D274" s="2" t="s">
        <v>15</v>
      </c>
      <c r="E274" s="2" t="s">
        <v>19</v>
      </c>
      <c r="F274">
        <v>2963</v>
      </c>
      <c r="G274">
        <v>3282.72</v>
      </c>
      <c r="H274">
        <v>0.05</v>
      </c>
    </row>
    <row r="275" spans="1:8" x14ac:dyDescent="0.3">
      <c r="A275">
        <v>274</v>
      </c>
      <c r="B275" s="1">
        <v>45565</v>
      </c>
      <c r="C275" s="2" t="s">
        <v>17</v>
      </c>
      <c r="D275" s="2" t="s">
        <v>18</v>
      </c>
      <c r="E275" s="2" t="s">
        <v>10</v>
      </c>
      <c r="F275">
        <v>4234</v>
      </c>
      <c r="G275">
        <v>5355.52</v>
      </c>
      <c r="H275">
        <v>7.0000000000000007E-2</v>
      </c>
    </row>
    <row r="276" spans="1:8" x14ac:dyDescent="0.3">
      <c r="A276">
        <v>275</v>
      </c>
      <c r="B276" s="1">
        <v>45566</v>
      </c>
      <c r="C276" s="2" t="s">
        <v>11</v>
      </c>
      <c r="D276" s="2" t="s">
        <v>15</v>
      </c>
      <c r="E276" s="2" t="s">
        <v>13</v>
      </c>
      <c r="F276">
        <v>4041</v>
      </c>
      <c r="G276">
        <v>5305.78</v>
      </c>
      <c r="H276">
        <v>0.05</v>
      </c>
    </row>
    <row r="277" spans="1:8" x14ac:dyDescent="0.3">
      <c r="A277">
        <v>276</v>
      </c>
      <c r="B277" s="1">
        <v>45567</v>
      </c>
      <c r="C277" s="2" t="s">
        <v>11</v>
      </c>
      <c r="D277" s="2" t="s">
        <v>18</v>
      </c>
      <c r="E277" s="2" t="s">
        <v>19</v>
      </c>
      <c r="F277">
        <v>3828</v>
      </c>
      <c r="G277">
        <v>4662.9799999999996</v>
      </c>
      <c r="H277">
        <v>0.05</v>
      </c>
    </row>
    <row r="278" spans="1:8" x14ac:dyDescent="0.3">
      <c r="A278">
        <v>277</v>
      </c>
      <c r="B278" s="1">
        <v>45568</v>
      </c>
      <c r="C278" s="2" t="s">
        <v>8</v>
      </c>
      <c r="D278" s="2" t="s">
        <v>15</v>
      </c>
      <c r="E278" s="2" t="s">
        <v>13</v>
      </c>
      <c r="F278">
        <v>4108</v>
      </c>
      <c r="G278">
        <v>5979.29</v>
      </c>
      <c r="H278">
        <v>0.04</v>
      </c>
    </row>
    <row r="279" spans="1:8" x14ac:dyDescent="0.3">
      <c r="A279">
        <v>278</v>
      </c>
      <c r="B279" s="1">
        <v>45569</v>
      </c>
      <c r="C279" s="2" t="s">
        <v>8</v>
      </c>
      <c r="D279" s="2" t="s">
        <v>15</v>
      </c>
      <c r="E279" s="2" t="s">
        <v>13</v>
      </c>
      <c r="F279">
        <v>2938</v>
      </c>
      <c r="G279">
        <v>1522.57</v>
      </c>
      <c r="H279">
        <v>0.04</v>
      </c>
    </row>
    <row r="280" spans="1:8" x14ac:dyDescent="0.3">
      <c r="A280">
        <v>279</v>
      </c>
      <c r="B280" s="1">
        <v>45570</v>
      </c>
      <c r="C280" s="2" t="s">
        <v>11</v>
      </c>
      <c r="D280" s="2" t="s">
        <v>21</v>
      </c>
      <c r="E280" s="2" t="s">
        <v>19</v>
      </c>
      <c r="F280">
        <v>2709</v>
      </c>
      <c r="G280">
        <v>1884.86</v>
      </c>
      <c r="H280">
        <v>0.05</v>
      </c>
    </row>
    <row r="281" spans="1:8" x14ac:dyDescent="0.3">
      <c r="A281">
        <v>280</v>
      </c>
      <c r="B281" s="1">
        <v>45571</v>
      </c>
      <c r="C281" s="2" t="s">
        <v>11</v>
      </c>
      <c r="D281" s="2" t="s">
        <v>12</v>
      </c>
      <c r="E281" s="2" t="s">
        <v>10</v>
      </c>
      <c r="F281">
        <v>2806</v>
      </c>
      <c r="G281">
        <v>1424.22</v>
      </c>
      <c r="H281">
        <v>0.05</v>
      </c>
    </row>
    <row r="282" spans="1:8" x14ac:dyDescent="0.3">
      <c r="A282">
        <v>281</v>
      </c>
      <c r="B282" s="1">
        <v>45572</v>
      </c>
      <c r="C282" s="2" t="s">
        <v>8</v>
      </c>
      <c r="D282" s="2" t="s">
        <v>15</v>
      </c>
      <c r="E282" s="2" t="s">
        <v>10</v>
      </c>
      <c r="F282">
        <v>3463</v>
      </c>
      <c r="G282">
        <v>3973.7</v>
      </c>
      <c r="H282">
        <v>0.04</v>
      </c>
    </row>
    <row r="283" spans="1:8" x14ac:dyDescent="0.3">
      <c r="A283">
        <v>282</v>
      </c>
      <c r="B283" s="1">
        <v>45573</v>
      </c>
      <c r="C283" s="2" t="s">
        <v>8</v>
      </c>
      <c r="D283" s="2" t="s">
        <v>21</v>
      </c>
      <c r="E283" s="2" t="s">
        <v>16</v>
      </c>
      <c r="F283">
        <v>3325</v>
      </c>
      <c r="G283">
        <v>4648.45</v>
      </c>
      <c r="H283">
        <v>0.04</v>
      </c>
    </row>
    <row r="284" spans="1:8" x14ac:dyDescent="0.3">
      <c r="A284">
        <v>283</v>
      </c>
      <c r="B284" s="1">
        <v>45574</v>
      </c>
      <c r="C284" s="2" t="s">
        <v>8</v>
      </c>
      <c r="D284" s="2" t="s">
        <v>9</v>
      </c>
      <c r="E284" s="2" t="s">
        <v>19</v>
      </c>
      <c r="F284">
        <v>2010</v>
      </c>
      <c r="G284">
        <v>1494.4</v>
      </c>
      <c r="H284">
        <v>0.04</v>
      </c>
    </row>
    <row r="285" spans="1:8" x14ac:dyDescent="0.3">
      <c r="A285">
        <v>284</v>
      </c>
      <c r="B285" s="1">
        <v>45575</v>
      </c>
      <c r="C285" s="2" t="s">
        <v>17</v>
      </c>
      <c r="D285" s="2" t="s">
        <v>12</v>
      </c>
      <c r="E285" s="2" t="s">
        <v>16</v>
      </c>
      <c r="F285">
        <v>3085</v>
      </c>
      <c r="G285">
        <v>4402.3999999999996</v>
      </c>
      <c r="H285">
        <v>7.0000000000000007E-2</v>
      </c>
    </row>
    <row r="286" spans="1:8" x14ac:dyDescent="0.3">
      <c r="A286">
        <v>285</v>
      </c>
      <c r="B286" s="1">
        <v>45576</v>
      </c>
      <c r="C286" s="2" t="s">
        <v>11</v>
      </c>
      <c r="D286" s="2" t="s">
        <v>15</v>
      </c>
      <c r="E286" s="2" t="s">
        <v>16</v>
      </c>
      <c r="F286">
        <v>3868</v>
      </c>
      <c r="G286">
        <v>2167.11</v>
      </c>
      <c r="H286">
        <v>0.05</v>
      </c>
    </row>
    <row r="287" spans="1:8" x14ac:dyDescent="0.3">
      <c r="A287">
        <v>286</v>
      </c>
      <c r="B287" s="1">
        <v>45577</v>
      </c>
      <c r="C287" s="2" t="s">
        <v>8</v>
      </c>
      <c r="D287" s="2" t="s">
        <v>20</v>
      </c>
      <c r="E287" s="2" t="s">
        <v>16</v>
      </c>
      <c r="F287">
        <v>4273</v>
      </c>
      <c r="G287">
        <v>6129.35</v>
      </c>
      <c r="H287">
        <v>0.04</v>
      </c>
    </row>
    <row r="288" spans="1:8" x14ac:dyDescent="0.3">
      <c r="A288">
        <v>287</v>
      </c>
      <c r="B288" s="1">
        <v>45578</v>
      </c>
      <c r="C288" s="2" t="s">
        <v>11</v>
      </c>
      <c r="D288" s="2" t="s">
        <v>14</v>
      </c>
      <c r="E288" s="2" t="s">
        <v>10</v>
      </c>
      <c r="F288">
        <v>4611</v>
      </c>
      <c r="G288">
        <v>3926.83</v>
      </c>
      <c r="H288">
        <v>0.05</v>
      </c>
    </row>
    <row r="289" spans="1:8" x14ac:dyDescent="0.3">
      <c r="A289">
        <v>288</v>
      </c>
      <c r="B289" s="1">
        <v>45579</v>
      </c>
      <c r="C289" s="2" t="s">
        <v>17</v>
      </c>
      <c r="D289" s="2" t="s">
        <v>9</v>
      </c>
      <c r="E289" s="2" t="s">
        <v>19</v>
      </c>
      <c r="F289">
        <v>2771</v>
      </c>
      <c r="G289">
        <v>1666.54</v>
      </c>
      <c r="H289">
        <v>7.0000000000000007E-2</v>
      </c>
    </row>
    <row r="290" spans="1:8" x14ac:dyDescent="0.3">
      <c r="A290">
        <v>289</v>
      </c>
      <c r="B290" s="1">
        <v>45580</v>
      </c>
      <c r="C290" s="2" t="s">
        <v>17</v>
      </c>
      <c r="D290" s="2" t="s">
        <v>9</v>
      </c>
      <c r="E290" s="2" t="s">
        <v>16</v>
      </c>
      <c r="F290">
        <v>3594</v>
      </c>
      <c r="G290">
        <v>3543.22</v>
      </c>
      <c r="H290">
        <v>7.0000000000000007E-2</v>
      </c>
    </row>
    <row r="291" spans="1:8" x14ac:dyDescent="0.3">
      <c r="A291">
        <v>290</v>
      </c>
      <c r="B291" s="1">
        <v>45581</v>
      </c>
      <c r="C291" s="2" t="s">
        <v>8</v>
      </c>
      <c r="D291" s="2" t="s">
        <v>21</v>
      </c>
      <c r="E291" s="2" t="s">
        <v>19</v>
      </c>
      <c r="F291">
        <v>3607</v>
      </c>
      <c r="G291">
        <v>2729.69</v>
      </c>
      <c r="H291">
        <v>0.04</v>
      </c>
    </row>
    <row r="292" spans="1:8" x14ac:dyDescent="0.3">
      <c r="A292">
        <v>291</v>
      </c>
      <c r="B292" s="1">
        <v>45582</v>
      </c>
      <c r="C292" s="2" t="s">
        <v>17</v>
      </c>
      <c r="D292" s="2" t="s">
        <v>9</v>
      </c>
      <c r="E292" s="2" t="s">
        <v>19</v>
      </c>
      <c r="F292">
        <v>3333</v>
      </c>
      <c r="G292">
        <v>2615.98</v>
      </c>
      <c r="H292">
        <v>7.0000000000000007E-2</v>
      </c>
    </row>
    <row r="293" spans="1:8" x14ac:dyDescent="0.3">
      <c r="A293">
        <v>292</v>
      </c>
      <c r="B293" s="1">
        <v>45583</v>
      </c>
      <c r="C293" s="2" t="s">
        <v>11</v>
      </c>
      <c r="D293" s="2" t="s">
        <v>12</v>
      </c>
      <c r="E293" s="2" t="s">
        <v>10</v>
      </c>
      <c r="F293">
        <v>2884</v>
      </c>
      <c r="G293">
        <v>2328.2199999999998</v>
      </c>
      <c r="H293">
        <v>0.05</v>
      </c>
    </row>
    <row r="294" spans="1:8" x14ac:dyDescent="0.3">
      <c r="A294">
        <v>293</v>
      </c>
      <c r="B294" s="1">
        <v>45584</v>
      </c>
      <c r="C294" s="2" t="s">
        <v>8</v>
      </c>
      <c r="D294" s="2" t="s">
        <v>15</v>
      </c>
      <c r="E294" s="2" t="s">
        <v>16</v>
      </c>
      <c r="F294">
        <v>3389</v>
      </c>
      <c r="G294">
        <v>4415.95</v>
      </c>
      <c r="H294">
        <v>0.04</v>
      </c>
    </row>
    <row r="295" spans="1:8" x14ac:dyDescent="0.3">
      <c r="A295">
        <v>294</v>
      </c>
      <c r="B295" s="1">
        <v>45585</v>
      </c>
      <c r="C295" s="2" t="s">
        <v>11</v>
      </c>
      <c r="D295" s="2" t="s">
        <v>15</v>
      </c>
      <c r="E295" s="2" t="s">
        <v>16</v>
      </c>
      <c r="F295">
        <v>2225</v>
      </c>
      <c r="G295">
        <v>2312.13</v>
      </c>
      <c r="H295">
        <v>0.05</v>
      </c>
    </row>
    <row r="296" spans="1:8" x14ac:dyDescent="0.3">
      <c r="A296">
        <v>295</v>
      </c>
      <c r="B296" s="1">
        <v>45586</v>
      </c>
      <c r="C296" s="2" t="s">
        <v>11</v>
      </c>
      <c r="D296" s="2" t="s">
        <v>20</v>
      </c>
      <c r="E296" s="2" t="s">
        <v>19</v>
      </c>
      <c r="F296">
        <v>2824</v>
      </c>
      <c r="G296">
        <v>2291.13</v>
      </c>
      <c r="H296">
        <v>0.05</v>
      </c>
    </row>
    <row r="297" spans="1:8" x14ac:dyDescent="0.3">
      <c r="A297">
        <v>296</v>
      </c>
      <c r="B297" s="1">
        <v>45587</v>
      </c>
      <c r="C297" s="2" t="s">
        <v>17</v>
      </c>
      <c r="D297" s="2" t="s">
        <v>14</v>
      </c>
      <c r="E297" s="2" t="s">
        <v>13</v>
      </c>
      <c r="F297">
        <v>4265</v>
      </c>
      <c r="H297">
        <v>7.0000000000000007E-2</v>
      </c>
    </row>
    <row r="298" spans="1:8" x14ac:dyDescent="0.3">
      <c r="A298">
        <v>297</v>
      </c>
      <c r="B298" s="1">
        <v>45588</v>
      </c>
      <c r="C298" s="2" t="s">
        <v>17</v>
      </c>
      <c r="D298" s="2" t="s">
        <v>21</v>
      </c>
      <c r="E298" s="2" t="s">
        <v>10</v>
      </c>
      <c r="F298">
        <v>2936</v>
      </c>
      <c r="G298">
        <v>3570.62</v>
      </c>
      <c r="H298">
        <v>7.0000000000000007E-2</v>
      </c>
    </row>
    <row r="299" spans="1:8" x14ac:dyDescent="0.3">
      <c r="A299">
        <v>298</v>
      </c>
      <c r="B299" s="1">
        <v>45589</v>
      </c>
      <c r="C299" s="2" t="s">
        <v>17</v>
      </c>
      <c r="D299" s="2" t="s">
        <v>14</v>
      </c>
      <c r="E299" s="2" t="s">
        <v>10</v>
      </c>
      <c r="F299">
        <v>4800</v>
      </c>
      <c r="G299">
        <v>3708.6</v>
      </c>
      <c r="H299">
        <v>7.0000000000000007E-2</v>
      </c>
    </row>
    <row r="300" spans="1:8" x14ac:dyDescent="0.3">
      <c r="A300">
        <v>299</v>
      </c>
      <c r="B300" s="1">
        <v>45590</v>
      </c>
      <c r="C300" s="2" t="s">
        <v>17</v>
      </c>
      <c r="D300" s="2" t="s">
        <v>9</v>
      </c>
      <c r="E300" s="2" t="s">
        <v>10</v>
      </c>
      <c r="F300">
        <v>4553</v>
      </c>
      <c r="G300">
        <v>4159.3900000000003</v>
      </c>
      <c r="H300">
        <v>7.0000000000000007E-2</v>
      </c>
    </row>
    <row r="301" spans="1:8" x14ac:dyDescent="0.3">
      <c r="A301">
        <v>300</v>
      </c>
      <c r="B301" s="1">
        <v>45591</v>
      </c>
      <c r="C301" s="2" t="s">
        <v>17</v>
      </c>
      <c r="D301" s="2" t="s">
        <v>20</v>
      </c>
      <c r="E301" s="2" t="s">
        <v>10</v>
      </c>
      <c r="F301">
        <v>4306</v>
      </c>
      <c r="G301">
        <v>2677.84</v>
      </c>
      <c r="H301">
        <v>7.0000000000000007E-2</v>
      </c>
    </row>
    <row r="302" spans="1:8" x14ac:dyDescent="0.3">
      <c r="A302">
        <v>301</v>
      </c>
      <c r="B302" s="1">
        <v>45592</v>
      </c>
      <c r="C302" s="2" t="s">
        <v>8</v>
      </c>
      <c r="D302" s="2" t="s">
        <v>14</v>
      </c>
      <c r="E302" s="2" t="s">
        <v>16</v>
      </c>
      <c r="F302">
        <v>3911</v>
      </c>
      <c r="G302">
        <v>2663.98</v>
      </c>
      <c r="H302">
        <v>0.04</v>
      </c>
    </row>
    <row r="303" spans="1:8" x14ac:dyDescent="0.3">
      <c r="A303">
        <v>302</v>
      </c>
      <c r="B303" s="1">
        <v>45593</v>
      </c>
      <c r="C303" s="2" t="s">
        <v>11</v>
      </c>
      <c r="D303" s="2" t="s">
        <v>12</v>
      </c>
      <c r="E303" s="2" t="s">
        <v>16</v>
      </c>
      <c r="F303">
        <v>3796</v>
      </c>
      <c r="G303">
        <v>4483.5200000000004</v>
      </c>
      <c r="H303">
        <v>0.05</v>
      </c>
    </row>
    <row r="304" spans="1:8" x14ac:dyDescent="0.3">
      <c r="A304">
        <v>303</v>
      </c>
      <c r="B304" s="1">
        <v>45594</v>
      </c>
      <c r="C304" s="2" t="s">
        <v>11</v>
      </c>
      <c r="D304" s="2" t="s">
        <v>15</v>
      </c>
      <c r="E304" s="2" t="s">
        <v>13</v>
      </c>
      <c r="F304">
        <v>2053</v>
      </c>
      <c r="G304">
        <v>1398.99</v>
      </c>
      <c r="H304">
        <v>0.05</v>
      </c>
    </row>
    <row r="305" spans="1:8" x14ac:dyDescent="0.3">
      <c r="A305">
        <v>304</v>
      </c>
      <c r="B305" s="1">
        <v>45595</v>
      </c>
      <c r="C305" s="2" t="s">
        <v>11</v>
      </c>
      <c r="D305" s="2" t="s">
        <v>9</v>
      </c>
      <c r="E305" s="2" t="s">
        <v>10</v>
      </c>
      <c r="F305">
        <v>2726</v>
      </c>
      <c r="G305">
        <v>2794.6</v>
      </c>
      <c r="H305">
        <v>0.05</v>
      </c>
    </row>
    <row r="306" spans="1:8" x14ac:dyDescent="0.3">
      <c r="A306">
        <v>305</v>
      </c>
      <c r="B306" s="1">
        <v>45596</v>
      </c>
      <c r="C306" s="2" t="s">
        <v>11</v>
      </c>
      <c r="D306" s="2" t="s">
        <v>20</v>
      </c>
      <c r="E306" s="2" t="s">
        <v>10</v>
      </c>
      <c r="F306">
        <v>4736</v>
      </c>
      <c r="H306">
        <v>0.05</v>
      </c>
    </row>
    <row r="307" spans="1:8" x14ac:dyDescent="0.3">
      <c r="A307">
        <v>306</v>
      </c>
      <c r="B307" s="1">
        <v>45597</v>
      </c>
      <c r="C307" s="2" t="s">
        <v>17</v>
      </c>
      <c r="D307" s="2" t="s">
        <v>14</v>
      </c>
      <c r="E307" s="2" t="s">
        <v>19</v>
      </c>
      <c r="F307">
        <v>3544</v>
      </c>
      <c r="G307">
        <v>2150.77</v>
      </c>
      <c r="H307">
        <v>7.0000000000000007E-2</v>
      </c>
    </row>
    <row r="308" spans="1:8" x14ac:dyDescent="0.3">
      <c r="A308">
        <v>307</v>
      </c>
      <c r="B308" s="1">
        <v>45598</v>
      </c>
      <c r="C308" s="2" t="s">
        <v>11</v>
      </c>
      <c r="D308" s="2" t="s">
        <v>21</v>
      </c>
      <c r="E308" s="2" t="s">
        <v>16</v>
      </c>
      <c r="F308">
        <v>3043</v>
      </c>
      <c r="G308">
        <v>3247.83</v>
      </c>
      <c r="H308">
        <v>0.05</v>
      </c>
    </row>
    <row r="309" spans="1:8" x14ac:dyDescent="0.3">
      <c r="A309">
        <v>308</v>
      </c>
      <c r="B309" s="1">
        <v>45599</v>
      </c>
      <c r="C309" s="2" t="s">
        <v>8</v>
      </c>
      <c r="D309" s="2" t="s">
        <v>12</v>
      </c>
      <c r="E309" s="2" t="s">
        <v>10</v>
      </c>
      <c r="F309">
        <v>3913</v>
      </c>
      <c r="G309">
        <v>2960.43</v>
      </c>
      <c r="H309">
        <v>0.04</v>
      </c>
    </row>
    <row r="310" spans="1:8" x14ac:dyDescent="0.3">
      <c r="A310">
        <v>309</v>
      </c>
      <c r="B310" s="1">
        <v>45600</v>
      </c>
      <c r="C310" s="2" t="s">
        <v>8</v>
      </c>
      <c r="D310" s="2" t="s">
        <v>12</v>
      </c>
      <c r="E310" s="2" t="s">
        <v>13</v>
      </c>
      <c r="F310">
        <v>3776</v>
      </c>
      <c r="G310">
        <v>5524.01</v>
      </c>
      <c r="H310">
        <v>0.04</v>
      </c>
    </row>
    <row r="311" spans="1:8" x14ac:dyDescent="0.3">
      <c r="A311">
        <v>310</v>
      </c>
      <c r="B311" s="1">
        <v>45601</v>
      </c>
      <c r="C311" s="2" t="s">
        <v>11</v>
      </c>
      <c r="D311" s="2" t="s">
        <v>14</v>
      </c>
      <c r="E311" s="2" t="s">
        <v>13</v>
      </c>
      <c r="F311">
        <v>3596</v>
      </c>
      <c r="G311">
        <v>3536.83</v>
      </c>
      <c r="H311">
        <v>0.05</v>
      </c>
    </row>
    <row r="312" spans="1:8" x14ac:dyDescent="0.3">
      <c r="A312">
        <v>311</v>
      </c>
      <c r="B312" s="1">
        <v>45602</v>
      </c>
      <c r="C312" s="2" t="s">
        <v>11</v>
      </c>
      <c r="D312" s="2" t="s">
        <v>15</v>
      </c>
      <c r="E312" s="2" t="s">
        <v>16</v>
      </c>
      <c r="F312">
        <v>3914</v>
      </c>
      <c r="G312">
        <v>5111.6499999999996</v>
      </c>
      <c r="H312">
        <v>0.05</v>
      </c>
    </row>
    <row r="313" spans="1:8" x14ac:dyDescent="0.3">
      <c r="A313">
        <v>312</v>
      </c>
      <c r="B313" s="1">
        <v>45603</v>
      </c>
      <c r="C313" s="2" t="s">
        <v>8</v>
      </c>
      <c r="D313" s="2" t="s">
        <v>14</v>
      </c>
      <c r="E313" s="2" t="s">
        <v>13</v>
      </c>
      <c r="F313">
        <v>4466</v>
      </c>
      <c r="G313">
        <v>4690.3100000000004</v>
      </c>
      <c r="H313">
        <v>0.04</v>
      </c>
    </row>
    <row r="314" spans="1:8" x14ac:dyDescent="0.3">
      <c r="A314">
        <v>313</v>
      </c>
      <c r="B314" s="1">
        <v>45604</v>
      </c>
      <c r="C314" s="2" t="s">
        <v>8</v>
      </c>
      <c r="D314" s="2" t="s">
        <v>9</v>
      </c>
      <c r="E314" s="2" t="s">
        <v>13</v>
      </c>
      <c r="F314">
        <v>4737</v>
      </c>
      <c r="G314">
        <v>2574.15</v>
      </c>
      <c r="H314">
        <v>0.04</v>
      </c>
    </row>
    <row r="315" spans="1:8" x14ac:dyDescent="0.3">
      <c r="A315">
        <v>314</v>
      </c>
      <c r="B315" s="1">
        <v>45605</v>
      </c>
      <c r="C315" s="2" t="s">
        <v>17</v>
      </c>
      <c r="D315" s="2" t="s">
        <v>14</v>
      </c>
      <c r="E315" s="2" t="s">
        <v>16</v>
      </c>
      <c r="F315">
        <v>2849</v>
      </c>
      <c r="G315">
        <v>3228.35</v>
      </c>
      <c r="H315">
        <v>7.0000000000000007E-2</v>
      </c>
    </row>
    <row r="316" spans="1:8" x14ac:dyDescent="0.3">
      <c r="A316">
        <v>315</v>
      </c>
      <c r="B316" s="1">
        <v>45606</v>
      </c>
      <c r="C316" s="2" t="s">
        <v>8</v>
      </c>
      <c r="D316" s="2" t="s">
        <v>12</v>
      </c>
      <c r="E316" s="2" t="s">
        <v>10</v>
      </c>
      <c r="F316">
        <v>4109</v>
      </c>
      <c r="G316">
        <v>5963.82</v>
      </c>
      <c r="H316">
        <v>0.04</v>
      </c>
    </row>
    <row r="317" spans="1:8" x14ac:dyDescent="0.3">
      <c r="A317">
        <v>316</v>
      </c>
      <c r="B317" s="1">
        <v>45607</v>
      </c>
      <c r="C317" s="2" t="s">
        <v>17</v>
      </c>
      <c r="D317" s="2" t="s">
        <v>20</v>
      </c>
      <c r="E317" s="2" t="s">
        <v>10</v>
      </c>
      <c r="F317">
        <v>4263</v>
      </c>
      <c r="G317">
        <v>4696.17</v>
      </c>
      <c r="H317">
        <v>7.0000000000000007E-2</v>
      </c>
    </row>
    <row r="318" spans="1:8" x14ac:dyDescent="0.3">
      <c r="A318">
        <v>317</v>
      </c>
      <c r="B318" s="1">
        <v>45608</v>
      </c>
      <c r="C318" s="2" t="s">
        <v>17</v>
      </c>
      <c r="D318" s="2" t="s">
        <v>14</v>
      </c>
      <c r="E318" s="2" t="s">
        <v>13</v>
      </c>
      <c r="F318">
        <v>2002</v>
      </c>
      <c r="G318">
        <v>2641.02</v>
      </c>
      <c r="H318">
        <v>7.0000000000000007E-2</v>
      </c>
    </row>
    <row r="319" spans="1:8" x14ac:dyDescent="0.3">
      <c r="A319">
        <v>318</v>
      </c>
      <c r="B319" s="1">
        <v>45609</v>
      </c>
      <c r="C319" s="2" t="s">
        <v>17</v>
      </c>
      <c r="D319" s="2" t="s">
        <v>15</v>
      </c>
      <c r="E319" s="2" t="s">
        <v>13</v>
      </c>
      <c r="F319">
        <v>2159</v>
      </c>
      <c r="G319">
        <v>2988.5</v>
      </c>
      <c r="H319">
        <v>7.0000000000000007E-2</v>
      </c>
    </row>
    <row r="320" spans="1:8" x14ac:dyDescent="0.3">
      <c r="A320">
        <v>319</v>
      </c>
      <c r="B320" s="1">
        <v>45610</v>
      </c>
      <c r="C320" s="2" t="s">
        <v>17</v>
      </c>
      <c r="D320" s="2" t="s">
        <v>20</v>
      </c>
      <c r="E320" s="2" t="s">
        <v>10</v>
      </c>
      <c r="F320">
        <v>2780</v>
      </c>
      <c r="G320">
        <v>2024.06</v>
      </c>
      <c r="H320">
        <v>7.0000000000000007E-2</v>
      </c>
    </row>
    <row r="321" spans="1:8" x14ac:dyDescent="0.3">
      <c r="A321">
        <v>320</v>
      </c>
      <c r="B321" s="1">
        <v>45611</v>
      </c>
      <c r="C321" s="2" t="s">
        <v>17</v>
      </c>
      <c r="D321" s="2" t="s">
        <v>21</v>
      </c>
      <c r="E321" s="2" t="s">
        <v>16</v>
      </c>
      <c r="F321">
        <v>2892</v>
      </c>
      <c r="G321">
        <v>2059.23</v>
      </c>
      <c r="H321">
        <v>7.0000000000000007E-2</v>
      </c>
    </row>
    <row r="322" spans="1:8" x14ac:dyDescent="0.3">
      <c r="A322">
        <v>321</v>
      </c>
      <c r="B322" s="1">
        <v>45612</v>
      </c>
      <c r="C322" s="2" t="s">
        <v>11</v>
      </c>
      <c r="D322" s="2" t="s">
        <v>18</v>
      </c>
      <c r="E322" s="2" t="s">
        <v>13</v>
      </c>
      <c r="F322">
        <v>4030</v>
      </c>
      <c r="G322">
        <v>4477.25</v>
      </c>
      <c r="H322">
        <v>0.05</v>
      </c>
    </row>
    <row r="323" spans="1:8" x14ac:dyDescent="0.3">
      <c r="A323">
        <v>322</v>
      </c>
      <c r="B323" s="1">
        <v>45613</v>
      </c>
      <c r="C323" s="2" t="s">
        <v>8</v>
      </c>
      <c r="D323" s="2" t="s">
        <v>14</v>
      </c>
      <c r="E323" s="2" t="s">
        <v>19</v>
      </c>
      <c r="F323">
        <v>4376</v>
      </c>
      <c r="H323">
        <v>0.04</v>
      </c>
    </row>
    <row r="324" spans="1:8" x14ac:dyDescent="0.3">
      <c r="A324">
        <v>323</v>
      </c>
      <c r="B324" s="1">
        <v>45614</v>
      </c>
      <c r="C324" s="2" t="s">
        <v>17</v>
      </c>
      <c r="D324" s="2" t="s">
        <v>15</v>
      </c>
      <c r="E324" s="2" t="s">
        <v>16</v>
      </c>
      <c r="F324">
        <v>2579</v>
      </c>
      <c r="G324">
        <v>3455.5</v>
      </c>
      <c r="H324">
        <v>7.0000000000000007E-2</v>
      </c>
    </row>
    <row r="325" spans="1:8" x14ac:dyDescent="0.3">
      <c r="A325">
        <v>324</v>
      </c>
      <c r="B325" s="1">
        <v>45615</v>
      </c>
      <c r="C325" s="2" t="s">
        <v>8</v>
      </c>
      <c r="D325" s="2" t="s">
        <v>20</v>
      </c>
      <c r="E325" s="2" t="s">
        <v>13</v>
      </c>
      <c r="F325">
        <v>3933</v>
      </c>
      <c r="G325">
        <v>5506.29</v>
      </c>
      <c r="H325">
        <v>0.04</v>
      </c>
    </row>
    <row r="326" spans="1:8" x14ac:dyDescent="0.3">
      <c r="A326">
        <v>325</v>
      </c>
      <c r="B326" s="1">
        <v>45616</v>
      </c>
      <c r="C326" s="2" t="s">
        <v>8</v>
      </c>
      <c r="D326" s="2" t="s">
        <v>15</v>
      </c>
      <c r="E326" s="2" t="s">
        <v>13</v>
      </c>
      <c r="F326">
        <v>3380</v>
      </c>
      <c r="G326">
        <v>2884.56</v>
      </c>
      <c r="H326">
        <v>0.04</v>
      </c>
    </row>
    <row r="327" spans="1:8" x14ac:dyDescent="0.3">
      <c r="A327">
        <v>326</v>
      </c>
      <c r="B327" s="1">
        <v>45617</v>
      </c>
      <c r="C327" s="2" t="s">
        <v>17</v>
      </c>
      <c r="D327" s="2" t="s">
        <v>21</v>
      </c>
      <c r="E327" s="2" t="s">
        <v>19</v>
      </c>
      <c r="F327">
        <v>3290</v>
      </c>
      <c r="G327">
        <v>2424.3000000000002</v>
      </c>
      <c r="H327">
        <v>7.0000000000000007E-2</v>
      </c>
    </row>
    <row r="328" spans="1:8" x14ac:dyDescent="0.3">
      <c r="A328">
        <v>327</v>
      </c>
      <c r="B328" s="1">
        <v>45618</v>
      </c>
      <c r="C328" s="2" t="s">
        <v>11</v>
      </c>
      <c r="D328" s="2" t="s">
        <v>12</v>
      </c>
      <c r="E328" s="2" t="s">
        <v>19</v>
      </c>
      <c r="F328">
        <v>3640</v>
      </c>
      <c r="G328">
        <v>4661.1099999999997</v>
      </c>
      <c r="H328">
        <v>0.05</v>
      </c>
    </row>
    <row r="329" spans="1:8" x14ac:dyDescent="0.3">
      <c r="A329">
        <v>328</v>
      </c>
      <c r="B329" s="1">
        <v>45619</v>
      </c>
      <c r="C329" s="2" t="s">
        <v>17</v>
      </c>
      <c r="D329" s="2" t="s">
        <v>15</v>
      </c>
      <c r="E329" s="2" t="s">
        <v>10</v>
      </c>
      <c r="F329">
        <v>2951</v>
      </c>
      <c r="G329">
        <v>2286.4499999999998</v>
      </c>
      <c r="H329">
        <v>7.0000000000000007E-2</v>
      </c>
    </row>
    <row r="330" spans="1:8" x14ac:dyDescent="0.3">
      <c r="A330">
        <v>329</v>
      </c>
      <c r="B330" s="1">
        <v>45620</v>
      </c>
      <c r="C330" s="2" t="s">
        <v>11</v>
      </c>
      <c r="D330" s="2" t="s">
        <v>20</v>
      </c>
      <c r="E330" s="2" t="s">
        <v>16</v>
      </c>
      <c r="F330">
        <v>4682</v>
      </c>
      <c r="G330">
        <v>6192.48</v>
      </c>
      <c r="H330">
        <v>0.05</v>
      </c>
    </row>
    <row r="331" spans="1:8" x14ac:dyDescent="0.3">
      <c r="A331">
        <v>330</v>
      </c>
      <c r="B331" s="1">
        <v>45621</v>
      </c>
      <c r="C331" s="2" t="s">
        <v>8</v>
      </c>
      <c r="D331" s="2" t="s">
        <v>15</v>
      </c>
      <c r="E331" s="2" t="s">
        <v>16</v>
      </c>
      <c r="F331">
        <v>2987</v>
      </c>
      <c r="G331">
        <v>2759.21</v>
      </c>
      <c r="H331">
        <v>0.04</v>
      </c>
    </row>
    <row r="332" spans="1:8" x14ac:dyDescent="0.3">
      <c r="A332">
        <v>331</v>
      </c>
      <c r="B332" s="1">
        <v>45622</v>
      </c>
      <c r="C332" s="2" t="s">
        <v>11</v>
      </c>
      <c r="D332" s="2" t="s">
        <v>15</v>
      </c>
      <c r="E332" s="2" t="s">
        <v>10</v>
      </c>
      <c r="F332">
        <v>3218</v>
      </c>
      <c r="G332">
        <v>3757.18</v>
      </c>
      <c r="H332">
        <v>0.05</v>
      </c>
    </row>
    <row r="333" spans="1:8" x14ac:dyDescent="0.3">
      <c r="A333">
        <v>332</v>
      </c>
      <c r="B333" s="1">
        <v>45623</v>
      </c>
      <c r="C333" s="2" t="s">
        <v>11</v>
      </c>
      <c r="D333" s="2" t="s">
        <v>15</v>
      </c>
      <c r="E333" s="2" t="s">
        <v>16</v>
      </c>
      <c r="F333">
        <v>2920</v>
      </c>
      <c r="H333">
        <v>0.05</v>
      </c>
    </row>
    <row r="334" spans="1:8" x14ac:dyDescent="0.3">
      <c r="A334">
        <v>333</v>
      </c>
      <c r="B334" s="1">
        <v>45624</v>
      </c>
      <c r="C334" s="2" t="s">
        <v>11</v>
      </c>
      <c r="D334" s="2" t="s">
        <v>9</v>
      </c>
      <c r="E334" s="2" t="s">
        <v>16</v>
      </c>
      <c r="F334">
        <v>4785</v>
      </c>
      <c r="G334">
        <v>5377.67</v>
      </c>
      <c r="H334">
        <v>0.05</v>
      </c>
    </row>
    <row r="335" spans="1:8" x14ac:dyDescent="0.3">
      <c r="A335">
        <v>334</v>
      </c>
      <c r="B335" s="1">
        <v>45625</v>
      </c>
      <c r="C335" s="2" t="s">
        <v>8</v>
      </c>
      <c r="D335" s="2" t="s">
        <v>9</v>
      </c>
      <c r="E335" s="2" t="s">
        <v>16</v>
      </c>
      <c r="F335">
        <v>3355</v>
      </c>
      <c r="G335">
        <v>3193.18</v>
      </c>
      <c r="H335">
        <v>0.04</v>
      </c>
    </row>
    <row r="336" spans="1:8" x14ac:dyDescent="0.3">
      <c r="A336">
        <v>335</v>
      </c>
      <c r="B336" s="1">
        <v>45626</v>
      </c>
      <c r="C336" s="2" t="s">
        <v>8</v>
      </c>
      <c r="D336" s="2" t="s">
        <v>12</v>
      </c>
      <c r="E336" s="2" t="s">
        <v>16</v>
      </c>
      <c r="F336">
        <v>2169</v>
      </c>
      <c r="G336">
        <v>2356.85</v>
      </c>
      <c r="H336">
        <v>0.04</v>
      </c>
    </row>
    <row r="337" spans="1:8" x14ac:dyDescent="0.3">
      <c r="A337">
        <v>336</v>
      </c>
      <c r="B337" s="1">
        <v>45627</v>
      </c>
      <c r="C337" s="2" t="s">
        <v>11</v>
      </c>
      <c r="D337" s="2" t="s">
        <v>14</v>
      </c>
      <c r="E337" s="2" t="s">
        <v>16</v>
      </c>
      <c r="F337">
        <v>2520</v>
      </c>
      <c r="G337">
        <v>1683.4</v>
      </c>
      <c r="H337">
        <v>0.05</v>
      </c>
    </row>
    <row r="338" spans="1:8" x14ac:dyDescent="0.3">
      <c r="A338">
        <v>337</v>
      </c>
      <c r="B338" s="1">
        <v>45628</v>
      </c>
      <c r="C338" s="2" t="s">
        <v>11</v>
      </c>
      <c r="D338" s="2" t="s">
        <v>15</v>
      </c>
      <c r="E338" s="2" t="s">
        <v>19</v>
      </c>
      <c r="F338">
        <v>3486</v>
      </c>
      <c r="G338">
        <v>4311.74</v>
      </c>
      <c r="H338">
        <v>0.05</v>
      </c>
    </row>
    <row r="339" spans="1:8" x14ac:dyDescent="0.3">
      <c r="A339">
        <v>338</v>
      </c>
      <c r="B339" s="1">
        <v>45629</v>
      </c>
      <c r="C339" s="2" t="s">
        <v>17</v>
      </c>
      <c r="D339" s="2" t="s">
        <v>21</v>
      </c>
      <c r="E339" s="2" t="s">
        <v>16</v>
      </c>
      <c r="F339">
        <v>2039</v>
      </c>
      <c r="G339">
        <v>2778.74</v>
      </c>
      <c r="H339">
        <v>7.0000000000000007E-2</v>
      </c>
    </row>
    <row r="340" spans="1:8" x14ac:dyDescent="0.3">
      <c r="A340">
        <v>339</v>
      </c>
      <c r="B340" s="1">
        <v>45630</v>
      </c>
      <c r="C340" s="2" t="s">
        <v>11</v>
      </c>
      <c r="D340" s="2" t="s">
        <v>14</v>
      </c>
      <c r="E340" s="2" t="s">
        <v>19</v>
      </c>
      <c r="F340">
        <v>3560</v>
      </c>
      <c r="G340">
        <v>2551.59</v>
      </c>
      <c r="H340">
        <v>0.05</v>
      </c>
    </row>
    <row r="341" spans="1:8" x14ac:dyDescent="0.3">
      <c r="A341">
        <v>340</v>
      </c>
      <c r="B341" s="1">
        <v>45631</v>
      </c>
      <c r="C341" s="2" t="s">
        <v>17</v>
      </c>
      <c r="D341" s="2" t="s">
        <v>21</v>
      </c>
      <c r="E341" s="2" t="s">
        <v>16</v>
      </c>
      <c r="F341">
        <v>3418</v>
      </c>
      <c r="G341">
        <v>2036.15</v>
      </c>
      <c r="H341">
        <v>7.0000000000000007E-2</v>
      </c>
    </row>
    <row r="342" spans="1:8" x14ac:dyDescent="0.3">
      <c r="A342">
        <v>341</v>
      </c>
      <c r="B342" s="1">
        <v>45632</v>
      </c>
      <c r="C342" s="2" t="s">
        <v>11</v>
      </c>
      <c r="D342" s="2" t="s">
        <v>14</v>
      </c>
      <c r="E342" s="2" t="s">
        <v>10</v>
      </c>
      <c r="F342">
        <v>2954</v>
      </c>
      <c r="G342">
        <v>1546.83</v>
      </c>
      <c r="H342">
        <v>0.05</v>
      </c>
    </row>
    <row r="343" spans="1:8" x14ac:dyDescent="0.3">
      <c r="A343">
        <v>342</v>
      </c>
      <c r="B343" s="1">
        <v>45633</v>
      </c>
      <c r="C343" s="2" t="s">
        <v>17</v>
      </c>
      <c r="D343" s="2" t="s">
        <v>12</v>
      </c>
      <c r="E343" s="2" t="s">
        <v>13</v>
      </c>
      <c r="F343">
        <v>2983</v>
      </c>
      <c r="G343">
        <v>3406.5</v>
      </c>
      <c r="H343">
        <v>7.0000000000000007E-2</v>
      </c>
    </row>
    <row r="344" spans="1:8" x14ac:dyDescent="0.3">
      <c r="A344">
        <v>343</v>
      </c>
      <c r="B344" s="1">
        <v>45634</v>
      </c>
      <c r="C344" s="2" t="s">
        <v>8</v>
      </c>
      <c r="D344" s="2" t="s">
        <v>15</v>
      </c>
      <c r="E344" s="2" t="s">
        <v>19</v>
      </c>
      <c r="F344">
        <v>2974</v>
      </c>
      <c r="G344">
        <v>3292.5</v>
      </c>
      <c r="H344">
        <v>0.04</v>
      </c>
    </row>
    <row r="345" spans="1:8" x14ac:dyDescent="0.3">
      <c r="A345">
        <v>344</v>
      </c>
      <c r="B345" s="1">
        <v>45635</v>
      </c>
      <c r="C345" s="2" t="s">
        <v>11</v>
      </c>
      <c r="D345" s="2" t="s">
        <v>15</v>
      </c>
      <c r="E345" s="2" t="s">
        <v>16</v>
      </c>
      <c r="F345">
        <v>2037</v>
      </c>
      <c r="G345">
        <v>2132.12</v>
      </c>
      <c r="H345">
        <v>0.05</v>
      </c>
    </row>
    <row r="346" spans="1:8" x14ac:dyDescent="0.3">
      <c r="A346">
        <v>345</v>
      </c>
      <c r="B346" s="1">
        <v>45636</v>
      </c>
      <c r="C346" s="2" t="s">
        <v>11</v>
      </c>
      <c r="D346" s="2" t="s">
        <v>18</v>
      </c>
      <c r="E346" s="2" t="s">
        <v>10</v>
      </c>
      <c r="F346">
        <v>4375</v>
      </c>
      <c r="H346">
        <v>0.05</v>
      </c>
    </row>
    <row r="347" spans="1:8" x14ac:dyDescent="0.3">
      <c r="A347">
        <v>346</v>
      </c>
      <c r="B347" s="1">
        <v>45637</v>
      </c>
      <c r="C347" s="2" t="s">
        <v>11</v>
      </c>
      <c r="D347" s="2" t="s">
        <v>21</v>
      </c>
      <c r="E347" s="2" t="s">
        <v>13</v>
      </c>
      <c r="F347">
        <v>3274</v>
      </c>
      <c r="G347">
        <v>2916.83</v>
      </c>
      <c r="H347">
        <v>0.05</v>
      </c>
    </row>
    <row r="348" spans="1:8" x14ac:dyDescent="0.3">
      <c r="A348">
        <v>347</v>
      </c>
      <c r="B348" s="1">
        <v>45638</v>
      </c>
      <c r="C348" s="2" t="s">
        <v>11</v>
      </c>
      <c r="D348" s="2" t="s">
        <v>14</v>
      </c>
      <c r="E348" s="2" t="s">
        <v>19</v>
      </c>
      <c r="F348">
        <v>3199</v>
      </c>
      <c r="G348">
        <v>3501.23</v>
      </c>
      <c r="H348">
        <v>0.05</v>
      </c>
    </row>
    <row r="349" spans="1:8" x14ac:dyDescent="0.3">
      <c r="A349">
        <v>348</v>
      </c>
      <c r="B349" s="1">
        <v>45639</v>
      </c>
      <c r="C349" s="2" t="s">
        <v>17</v>
      </c>
      <c r="D349" s="2" t="s">
        <v>14</v>
      </c>
      <c r="E349" s="2" t="s">
        <v>13</v>
      </c>
      <c r="F349">
        <v>3625</v>
      </c>
      <c r="G349">
        <v>3613.28</v>
      </c>
      <c r="H349">
        <v>7.0000000000000007E-2</v>
      </c>
    </row>
    <row r="350" spans="1:8" x14ac:dyDescent="0.3">
      <c r="A350">
        <v>349</v>
      </c>
      <c r="B350" s="1">
        <v>45640</v>
      </c>
      <c r="C350" s="2" t="s">
        <v>11</v>
      </c>
      <c r="D350" s="2" t="s">
        <v>9</v>
      </c>
      <c r="E350" s="2" t="s">
        <v>10</v>
      </c>
      <c r="F350">
        <v>2913</v>
      </c>
      <c r="G350">
        <v>4333.92</v>
      </c>
      <c r="H350">
        <v>0.05</v>
      </c>
    </row>
    <row r="351" spans="1:8" x14ac:dyDescent="0.3">
      <c r="A351">
        <v>350</v>
      </c>
      <c r="B351" s="1">
        <v>45641</v>
      </c>
      <c r="C351" s="2" t="s">
        <v>8</v>
      </c>
      <c r="D351" s="2" t="s">
        <v>18</v>
      </c>
      <c r="E351" s="2" t="s">
        <v>19</v>
      </c>
      <c r="F351">
        <v>2453</v>
      </c>
      <c r="G351">
        <v>1561.19</v>
      </c>
      <c r="H351">
        <v>0.04</v>
      </c>
    </row>
    <row r="352" spans="1:8" x14ac:dyDescent="0.3">
      <c r="A352">
        <v>351</v>
      </c>
      <c r="B352" s="1">
        <v>45642</v>
      </c>
      <c r="C352" s="2" t="s">
        <v>8</v>
      </c>
      <c r="D352" s="2" t="s">
        <v>20</v>
      </c>
      <c r="E352" s="2" t="s">
        <v>13</v>
      </c>
      <c r="F352">
        <v>2036</v>
      </c>
      <c r="G352">
        <v>2433.31</v>
      </c>
      <c r="H352">
        <v>0.04</v>
      </c>
    </row>
    <row r="353" spans="1:8" x14ac:dyDescent="0.3">
      <c r="A353">
        <v>352</v>
      </c>
      <c r="B353" s="1">
        <v>45643</v>
      </c>
      <c r="C353" s="2" t="s">
        <v>11</v>
      </c>
      <c r="D353" s="2" t="s">
        <v>20</v>
      </c>
      <c r="E353" s="2" t="s">
        <v>16</v>
      </c>
      <c r="F353">
        <v>3711</v>
      </c>
      <c r="G353">
        <v>3355.93</v>
      </c>
      <c r="H353">
        <v>0.05</v>
      </c>
    </row>
    <row r="354" spans="1:8" x14ac:dyDescent="0.3">
      <c r="A354">
        <v>353</v>
      </c>
      <c r="B354" s="1">
        <v>45644</v>
      </c>
      <c r="C354" s="2" t="s">
        <v>8</v>
      </c>
      <c r="D354" s="2" t="s">
        <v>9</v>
      </c>
      <c r="E354" s="2" t="s">
        <v>19</v>
      </c>
      <c r="F354">
        <v>2795</v>
      </c>
      <c r="G354">
        <v>2594.3200000000002</v>
      </c>
      <c r="H354">
        <v>0.04</v>
      </c>
    </row>
    <row r="355" spans="1:8" x14ac:dyDescent="0.3">
      <c r="A355">
        <v>354</v>
      </c>
      <c r="B355" s="1">
        <v>45645</v>
      </c>
      <c r="C355" s="2" t="s">
        <v>11</v>
      </c>
      <c r="D355" s="2" t="s">
        <v>9</v>
      </c>
      <c r="E355" s="2" t="s">
        <v>13</v>
      </c>
      <c r="F355">
        <v>2972</v>
      </c>
      <c r="G355">
        <v>3618.7</v>
      </c>
      <c r="H355">
        <v>0.05</v>
      </c>
    </row>
    <row r="356" spans="1:8" x14ac:dyDescent="0.3">
      <c r="A356">
        <v>355</v>
      </c>
      <c r="B356" s="1">
        <v>45646</v>
      </c>
      <c r="C356" s="2" t="s">
        <v>11</v>
      </c>
      <c r="D356" s="2" t="s">
        <v>9</v>
      </c>
      <c r="E356" s="2" t="s">
        <v>10</v>
      </c>
      <c r="F356">
        <v>2592</v>
      </c>
      <c r="G356">
        <v>3090.79</v>
      </c>
      <c r="H356">
        <v>0.05</v>
      </c>
    </row>
    <row r="357" spans="1:8" x14ac:dyDescent="0.3">
      <c r="A357">
        <v>356</v>
      </c>
      <c r="B357" s="1">
        <v>45647</v>
      </c>
      <c r="C357" s="2" t="s">
        <v>8</v>
      </c>
      <c r="D357" s="2" t="s">
        <v>21</v>
      </c>
      <c r="E357" s="2" t="s">
        <v>10</v>
      </c>
      <c r="F357">
        <v>3137</v>
      </c>
      <c r="G357">
        <v>4678.07</v>
      </c>
      <c r="H357">
        <v>0.04</v>
      </c>
    </row>
    <row r="358" spans="1:8" x14ac:dyDescent="0.3">
      <c r="A358">
        <v>357</v>
      </c>
      <c r="B358" s="1">
        <v>45648</v>
      </c>
      <c r="C358" s="2" t="s">
        <v>11</v>
      </c>
      <c r="D358" s="2" t="s">
        <v>21</v>
      </c>
      <c r="E358" s="2" t="s">
        <v>19</v>
      </c>
      <c r="F358">
        <v>3324</v>
      </c>
      <c r="G358">
        <v>2088.7800000000002</v>
      </c>
      <c r="H358">
        <v>0.05</v>
      </c>
    </row>
    <row r="359" spans="1:8" x14ac:dyDescent="0.3">
      <c r="A359">
        <v>358</v>
      </c>
      <c r="B359" s="1">
        <v>45649</v>
      </c>
      <c r="C359" s="2" t="s">
        <v>8</v>
      </c>
      <c r="D359" s="2" t="s">
        <v>12</v>
      </c>
      <c r="E359" s="2" t="s">
        <v>13</v>
      </c>
      <c r="F359">
        <v>4271</v>
      </c>
      <c r="G359">
        <v>2580.15</v>
      </c>
      <c r="H359">
        <v>0.04</v>
      </c>
    </row>
    <row r="360" spans="1:8" x14ac:dyDescent="0.3">
      <c r="A360">
        <v>359</v>
      </c>
      <c r="B360" s="1">
        <v>45650</v>
      </c>
      <c r="C360" s="2" t="s">
        <v>17</v>
      </c>
      <c r="D360" s="2" t="s">
        <v>12</v>
      </c>
      <c r="E360" s="2" t="s">
        <v>19</v>
      </c>
      <c r="F360">
        <v>2317</v>
      </c>
      <c r="G360">
        <v>2836.79</v>
      </c>
      <c r="H360">
        <v>7.0000000000000007E-2</v>
      </c>
    </row>
    <row r="361" spans="1:8" x14ac:dyDescent="0.3">
      <c r="A361">
        <v>360</v>
      </c>
      <c r="B361" s="1">
        <v>45651</v>
      </c>
      <c r="C361" s="2" t="s">
        <v>11</v>
      </c>
      <c r="D361" s="2" t="s">
        <v>9</v>
      </c>
      <c r="E361" s="2" t="s">
        <v>19</v>
      </c>
      <c r="F361">
        <v>4396</v>
      </c>
      <c r="G361">
        <v>4740.59</v>
      </c>
      <c r="H361">
        <v>0.05</v>
      </c>
    </row>
    <row r="362" spans="1:8" x14ac:dyDescent="0.3">
      <c r="A362">
        <v>361</v>
      </c>
      <c r="B362" s="1">
        <v>45652</v>
      </c>
      <c r="C362" s="2" t="s">
        <v>17</v>
      </c>
      <c r="D362" s="2" t="s">
        <v>18</v>
      </c>
      <c r="E362" s="2" t="s">
        <v>13</v>
      </c>
      <c r="F362">
        <v>4162</v>
      </c>
      <c r="G362">
        <v>3222.06</v>
      </c>
      <c r="H362">
        <v>7.0000000000000007E-2</v>
      </c>
    </row>
    <row r="363" spans="1:8" x14ac:dyDescent="0.3">
      <c r="A363">
        <v>362</v>
      </c>
      <c r="B363" s="1">
        <v>45653</v>
      </c>
      <c r="C363" s="2" t="s">
        <v>8</v>
      </c>
      <c r="D363" s="2" t="s">
        <v>14</v>
      </c>
      <c r="E363" s="2" t="s">
        <v>13</v>
      </c>
      <c r="F363">
        <v>4745</v>
      </c>
      <c r="G363">
        <v>2749.34</v>
      </c>
      <c r="H363">
        <v>0.04</v>
      </c>
    </row>
    <row r="364" spans="1:8" x14ac:dyDescent="0.3">
      <c r="A364">
        <v>363</v>
      </c>
      <c r="B364" s="1">
        <v>45654</v>
      </c>
      <c r="C364" s="2" t="s">
        <v>17</v>
      </c>
      <c r="D364" s="2" t="s">
        <v>21</v>
      </c>
      <c r="E364" s="2" t="s">
        <v>16</v>
      </c>
      <c r="F364">
        <v>3346</v>
      </c>
      <c r="G364">
        <v>1959.61</v>
      </c>
      <c r="H364">
        <v>7.0000000000000007E-2</v>
      </c>
    </row>
    <row r="365" spans="1:8" x14ac:dyDescent="0.3">
      <c r="A365">
        <v>364</v>
      </c>
      <c r="B365" s="1">
        <v>45655</v>
      </c>
      <c r="C365" s="2" t="s">
        <v>17</v>
      </c>
      <c r="D365" s="2" t="s">
        <v>18</v>
      </c>
      <c r="E365" s="2" t="s">
        <v>13</v>
      </c>
      <c r="F365">
        <v>3591</v>
      </c>
      <c r="G365">
        <v>5006.54</v>
      </c>
      <c r="H365">
        <v>7.0000000000000007E-2</v>
      </c>
    </row>
    <row r="366" spans="1:8" x14ac:dyDescent="0.3">
      <c r="A366">
        <v>365</v>
      </c>
      <c r="B366" s="1">
        <v>45656</v>
      </c>
      <c r="C366" s="2" t="s">
        <v>8</v>
      </c>
      <c r="D366" s="2" t="s">
        <v>15</v>
      </c>
      <c r="E366" s="2" t="s">
        <v>10</v>
      </c>
      <c r="F366">
        <v>3889</v>
      </c>
      <c r="G366">
        <v>2690.67</v>
      </c>
      <c r="H366">
        <v>0.04</v>
      </c>
    </row>
    <row r="367" spans="1:8" x14ac:dyDescent="0.3">
      <c r="A367">
        <v>366</v>
      </c>
      <c r="B367" s="1">
        <v>45657</v>
      </c>
      <c r="C367" s="2" t="s">
        <v>17</v>
      </c>
      <c r="D367" s="2" t="s">
        <v>21</v>
      </c>
      <c r="E367" s="2" t="s">
        <v>19</v>
      </c>
      <c r="F367">
        <v>4087</v>
      </c>
      <c r="G367">
        <v>3365.12</v>
      </c>
      <c r="H367">
        <v>7.0000000000000007E-2</v>
      </c>
    </row>
    <row r="368" spans="1:8" x14ac:dyDescent="0.3">
      <c r="A368">
        <v>367</v>
      </c>
      <c r="B368" s="1">
        <v>45658</v>
      </c>
      <c r="C368" s="2" t="s">
        <v>17</v>
      </c>
      <c r="D368" s="2" t="s">
        <v>21</v>
      </c>
      <c r="E368" s="2" t="s">
        <v>19</v>
      </c>
      <c r="F368">
        <v>3996</v>
      </c>
      <c r="G368">
        <v>2903.72</v>
      </c>
      <c r="H368">
        <v>7.0000000000000007E-2</v>
      </c>
    </row>
    <row r="369" spans="1:8" x14ac:dyDescent="0.3">
      <c r="A369">
        <v>368</v>
      </c>
      <c r="B369" s="1">
        <v>45659</v>
      </c>
      <c r="C369" s="2" t="s">
        <v>8</v>
      </c>
      <c r="D369" s="2" t="s">
        <v>12</v>
      </c>
      <c r="E369" s="2" t="s">
        <v>10</v>
      </c>
      <c r="F369">
        <v>3772</v>
      </c>
      <c r="G369">
        <v>3225.05</v>
      </c>
      <c r="H369">
        <v>0.04</v>
      </c>
    </row>
    <row r="370" spans="1:8" x14ac:dyDescent="0.3">
      <c r="A370">
        <v>369</v>
      </c>
      <c r="B370" s="1">
        <v>45660</v>
      </c>
      <c r="C370" s="2" t="s">
        <v>17</v>
      </c>
      <c r="D370" s="2" t="s">
        <v>14</v>
      </c>
      <c r="E370" s="2" t="s">
        <v>13</v>
      </c>
      <c r="F370">
        <v>3312</v>
      </c>
      <c r="G370">
        <v>1885.93</v>
      </c>
      <c r="H370">
        <v>7.0000000000000007E-2</v>
      </c>
    </row>
    <row r="371" spans="1:8" x14ac:dyDescent="0.3">
      <c r="A371">
        <v>370</v>
      </c>
      <c r="B371" s="1">
        <v>45661</v>
      </c>
      <c r="C371" s="2" t="s">
        <v>8</v>
      </c>
      <c r="D371" s="2" t="s">
        <v>14</v>
      </c>
      <c r="E371" s="2" t="s">
        <v>10</v>
      </c>
      <c r="F371">
        <v>3285</v>
      </c>
      <c r="G371">
        <v>3347.61</v>
      </c>
      <c r="H371">
        <v>0.04</v>
      </c>
    </row>
    <row r="372" spans="1:8" x14ac:dyDescent="0.3">
      <c r="A372">
        <v>371</v>
      </c>
      <c r="B372" s="1">
        <v>45662</v>
      </c>
      <c r="C372" s="2" t="s">
        <v>17</v>
      </c>
      <c r="D372" s="2" t="s">
        <v>20</v>
      </c>
      <c r="E372" s="2" t="s">
        <v>10</v>
      </c>
      <c r="F372">
        <v>2215</v>
      </c>
      <c r="G372">
        <v>1257.26</v>
      </c>
      <c r="H372">
        <v>7.0000000000000007E-2</v>
      </c>
    </row>
    <row r="373" spans="1:8" x14ac:dyDescent="0.3">
      <c r="A373">
        <v>372</v>
      </c>
      <c r="B373" s="1">
        <v>45663</v>
      </c>
      <c r="C373" s="2" t="s">
        <v>8</v>
      </c>
      <c r="D373" s="2" t="s">
        <v>20</v>
      </c>
      <c r="E373" s="2" t="s">
        <v>16</v>
      </c>
      <c r="F373">
        <v>4383</v>
      </c>
      <c r="G373">
        <v>5699.46</v>
      </c>
      <c r="H373">
        <v>0.04</v>
      </c>
    </row>
    <row r="374" spans="1:8" x14ac:dyDescent="0.3">
      <c r="A374">
        <v>373</v>
      </c>
      <c r="B374" s="1">
        <v>45664</v>
      </c>
      <c r="C374" s="2" t="s">
        <v>8</v>
      </c>
      <c r="D374" s="2" t="s">
        <v>20</v>
      </c>
      <c r="E374" s="2" t="s">
        <v>10</v>
      </c>
      <c r="F374">
        <v>4139</v>
      </c>
      <c r="G374">
        <v>3036.83</v>
      </c>
      <c r="H374">
        <v>0.04</v>
      </c>
    </row>
    <row r="375" spans="1:8" x14ac:dyDescent="0.3">
      <c r="A375">
        <v>374</v>
      </c>
      <c r="B375" s="1">
        <v>45665</v>
      </c>
      <c r="C375" s="2" t="s">
        <v>17</v>
      </c>
      <c r="D375" s="2" t="s">
        <v>20</v>
      </c>
      <c r="E375" s="2" t="s">
        <v>19</v>
      </c>
      <c r="F375">
        <v>4400</v>
      </c>
      <c r="G375">
        <v>4576.05</v>
      </c>
      <c r="H375">
        <v>7.0000000000000007E-2</v>
      </c>
    </row>
    <row r="376" spans="1:8" x14ac:dyDescent="0.3">
      <c r="A376">
        <v>375</v>
      </c>
      <c r="B376" s="1">
        <v>45666</v>
      </c>
      <c r="C376" s="2" t="s">
        <v>17</v>
      </c>
      <c r="D376" s="2" t="s">
        <v>15</v>
      </c>
      <c r="E376" s="2" t="s">
        <v>10</v>
      </c>
      <c r="F376">
        <v>4618</v>
      </c>
      <c r="G376">
        <v>6373.21</v>
      </c>
      <c r="H376">
        <v>7.0000000000000007E-2</v>
      </c>
    </row>
    <row r="377" spans="1:8" x14ac:dyDescent="0.3">
      <c r="A377">
        <v>376</v>
      </c>
      <c r="B377" s="1">
        <v>45667</v>
      </c>
      <c r="C377" s="2" t="s">
        <v>17</v>
      </c>
      <c r="D377" s="2" t="s">
        <v>15</v>
      </c>
      <c r="E377" s="2" t="s">
        <v>19</v>
      </c>
      <c r="F377">
        <v>4863</v>
      </c>
      <c r="G377">
        <v>5596.72</v>
      </c>
      <c r="H377">
        <v>7.0000000000000007E-2</v>
      </c>
    </row>
    <row r="378" spans="1:8" x14ac:dyDescent="0.3">
      <c r="A378">
        <v>377</v>
      </c>
      <c r="B378" s="1">
        <v>45668</v>
      </c>
      <c r="C378" s="2" t="s">
        <v>11</v>
      </c>
      <c r="D378" s="2" t="s">
        <v>21</v>
      </c>
      <c r="E378" s="2" t="s">
        <v>19</v>
      </c>
      <c r="F378">
        <v>3704</v>
      </c>
      <c r="G378">
        <v>3826.08</v>
      </c>
      <c r="H378">
        <v>0.05</v>
      </c>
    </row>
    <row r="379" spans="1:8" x14ac:dyDescent="0.3">
      <c r="A379">
        <v>378</v>
      </c>
      <c r="B379" s="1">
        <v>45669</v>
      </c>
      <c r="C379" s="2" t="s">
        <v>11</v>
      </c>
      <c r="D379" s="2" t="s">
        <v>9</v>
      </c>
      <c r="E379" s="2" t="s">
        <v>19</v>
      </c>
      <c r="F379">
        <v>4828</v>
      </c>
      <c r="G379">
        <v>3979.88</v>
      </c>
      <c r="H379">
        <v>0.05</v>
      </c>
    </row>
    <row r="380" spans="1:8" x14ac:dyDescent="0.3">
      <c r="A380">
        <v>379</v>
      </c>
      <c r="B380" s="1">
        <v>45670</v>
      </c>
      <c r="C380" s="2" t="s">
        <v>11</v>
      </c>
      <c r="D380" s="2" t="s">
        <v>12</v>
      </c>
      <c r="E380" s="2" t="s">
        <v>13</v>
      </c>
      <c r="F380">
        <v>2362</v>
      </c>
      <c r="G380">
        <v>1967.55</v>
      </c>
      <c r="H380">
        <v>0.05</v>
      </c>
    </row>
    <row r="381" spans="1:8" x14ac:dyDescent="0.3">
      <c r="A381">
        <v>380</v>
      </c>
      <c r="B381" s="1">
        <v>45671</v>
      </c>
      <c r="C381" s="2" t="s">
        <v>8</v>
      </c>
      <c r="D381" s="2" t="s">
        <v>12</v>
      </c>
      <c r="E381" s="2" t="s">
        <v>16</v>
      </c>
      <c r="F381">
        <v>4604</v>
      </c>
      <c r="G381">
        <v>5384.32</v>
      </c>
      <c r="H381">
        <v>0.04</v>
      </c>
    </row>
    <row r="382" spans="1:8" x14ac:dyDescent="0.3">
      <c r="A382">
        <v>381</v>
      </c>
      <c r="B382" s="1">
        <v>45672</v>
      </c>
      <c r="C382" s="2" t="s">
        <v>17</v>
      </c>
      <c r="D382" s="2" t="s">
        <v>20</v>
      </c>
      <c r="E382" s="2" t="s">
        <v>19</v>
      </c>
      <c r="F382">
        <v>3716</v>
      </c>
      <c r="G382">
        <v>5552.22</v>
      </c>
      <c r="H382">
        <v>7.0000000000000007E-2</v>
      </c>
    </row>
    <row r="383" spans="1:8" x14ac:dyDescent="0.3">
      <c r="A383">
        <v>382</v>
      </c>
      <c r="B383" s="1">
        <v>45673</v>
      </c>
      <c r="C383" s="2" t="s">
        <v>8</v>
      </c>
      <c r="D383" s="2" t="s">
        <v>21</v>
      </c>
      <c r="E383" s="2" t="s">
        <v>19</v>
      </c>
      <c r="F383">
        <v>3193</v>
      </c>
      <c r="G383">
        <v>3709.75</v>
      </c>
      <c r="H383">
        <v>0.04</v>
      </c>
    </row>
    <row r="384" spans="1:8" x14ac:dyDescent="0.3">
      <c r="A384">
        <v>383</v>
      </c>
      <c r="B384" s="1">
        <v>45674</v>
      </c>
      <c r="C384" s="2" t="s">
        <v>11</v>
      </c>
      <c r="D384" s="2" t="s">
        <v>18</v>
      </c>
      <c r="E384" s="2" t="s">
        <v>13</v>
      </c>
      <c r="F384">
        <v>2355</v>
      </c>
      <c r="G384">
        <v>2491.08</v>
      </c>
      <c r="H384">
        <v>0.05</v>
      </c>
    </row>
    <row r="385" spans="1:8" x14ac:dyDescent="0.3">
      <c r="A385">
        <v>384</v>
      </c>
      <c r="B385" s="1">
        <v>45675</v>
      </c>
      <c r="C385" s="2" t="s">
        <v>17</v>
      </c>
      <c r="D385" s="2" t="s">
        <v>9</v>
      </c>
      <c r="E385" s="2" t="s">
        <v>19</v>
      </c>
      <c r="F385">
        <v>2190</v>
      </c>
      <c r="G385">
        <v>2695.12</v>
      </c>
      <c r="H385">
        <v>7.0000000000000007E-2</v>
      </c>
    </row>
    <row r="386" spans="1:8" x14ac:dyDescent="0.3">
      <c r="A386">
        <v>385</v>
      </c>
      <c r="B386" s="1">
        <v>45676</v>
      </c>
      <c r="C386" s="2" t="s">
        <v>8</v>
      </c>
      <c r="D386" s="2" t="s">
        <v>21</v>
      </c>
      <c r="E386" s="2" t="s">
        <v>10</v>
      </c>
      <c r="F386">
        <v>4469</v>
      </c>
      <c r="G386">
        <v>4313.5</v>
      </c>
      <c r="H386">
        <v>0.04</v>
      </c>
    </row>
    <row r="387" spans="1:8" x14ac:dyDescent="0.3">
      <c r="A387">
        <v>386</v>
      </c>
      <c r="B387" s="1">
        <v>45677</v>
      </c>
      <c r="C387" s="2" t="s">
        <v>17</v>
      </c>
      <c r="D387" s="2" t="s">
        <v>9</v>
      </c>
      <c r="E387" s="2" t="s">
        <v>10</v>
      </c>
      <c r="F387">
        <v>2699</v>
      </c>
      <c r="G387">
        <v>1511.82</v>
      </c>
      <c r="H387">
        <v>7.0000000000000007E-2</v>
      </c>
    </row>
    <row r="388" spans="1:8" x14ac:dyDescent="0.3">
      <c r="A388">
        <v>387</v>
      </c>
      <c r="B388" s="1">
        <v>45678</v>
      </c>
      <c r="C388" s="2" t="s">
        <v>8</v>
      </c>
      <c r="D388" s="2" t="s">
        <v>9</v>
      </c>
      <c r="E388" s="2" t="s">
        <v>16</v>
      </c>
      <c r="F388">
        <v>4054</v>
      </c>
      <c r="G388">
        <v>4306.55</v>
      </c>
      <c r="H388">
        <v>0.04</v>
      </c>
    </row>
    <row r="389" spans="1:8" x14ac:dyDescent="0.3">
      <c r="A389">
        <v>388</v>
      </c>
      <c r="B389" s="1">
        <v>45679</v>
      </c>
      <c r="C389" s="2" t="s">
        <v>17</v>
      </c>
      <c r="D389" s="2" t="s">
        <v>9</v>
      </c>
      <c r="E389" s="2" t="s">
        <v>19</v>
      </c>
      <c r="F389">
        <v>4180</v>
      </c>
      <c r="G389">
        <v>6092.87</v>
      </c>
      <c r="H389">
        <v>7.0000000000000007E-2</v>
      </c>
    </row>
    <row r="390" spans="1:8" x14ac:dyDescent="0.3">
      <c r="A390">
        <v>389</v>
      </c>
      <c r="B390" s="1">
        <v>45680</v>
      </c>
      <c r="C390" s="2" t="s">
        <v>11</v>
      </c>
      <c r="D390" s="2" t="s">
        <v>21</v>
      </c>
      <c r="E390" s="2" t="s">
        <v>13</v>
      </c>
      <c r="F390">
        <v>2556</v>
      </c>
      <c r="G390">
        <v>1726.07</v>
      </c>
      <c r="H390">
        <v>0.05</v>
      </c>
    </row>
    <row r="391" spans="1:8" x14ac:dyDescent="0.3">
      <c r="A391">
        <v>390</v>
      </c>
      <c r="B391" s="1">
        <v>45681</v>
      </c>
      <c r="C391" s="2" t="s">
        <v>11</v>
      </c>
      <c r="D391" s="2" t="s">
        <v>20</v>
      </c>
      <c r="E391" s="2" t="s">
        <v>10</v>
      </c>
      <c r="F391">
        <v>2825</v>
      </c>
      <c r="G391">
        <v>3361.76</v>
      </c>
      <c r="H391">
        <v>0.05</v>
      </c>
    </row>
    <row r="392" spans="1:8" x14ac:dyDescent="0.3">
      <c r="A392">
        <v>391</v>
      </c>
      <c r="B392" s="1">
        <v>45682</v>
      </c>
      <c r="C392" s="2" t="s">
        <v>17</v>
      </c>
      <c r="D392" s="2" t="s">
        <v>12</v>
      </c>
      <c r="E392" s="2" t="s">
        <v>13</v>
      </c>
      <c r="F392">
        <v>4808</v>
      </c>
      <c r="G392">
        <v>3370.09</v>
      </c>
      <c r="H392">
        <v>7.0000000000000007E-2</v>
      </c>
    </row>
    <row r="393" spans="1:8" x14ac:dyDescent="0.3">
      <c r="A393">
        <v>392</v>
      </c>
      <c r="B393" s="1">
        <v>45683</v>
      </c>
      <c r="C393" s="2" t="s">
        <v>8</v>
      </c>
      <c r="D393" s="2" t="s">
        <v>12</v>
      </c>
      <c r="E393" s="2" t="s">
        <v>13</v>
      </c>
      <c r="F393">
        <v>3054</v>
      </c>
      <c r="G393">
        <v>3163.42</v>
      </c>
      <c r="H393">
        <v>0.04</v>
      </c>
    </row>
    <row r="394" spans="1:8" x14ac:dyDescent="0.3">
      <c r="A394">
        <v>393</v>
      </c>
      <c r="B394" s="1">
        <v>45684</v>
      </c>
      <c r="C394" s="2" t="s">
        <v>11</v>
      </c>
      <c r="D394" s="2" t="s">
        <v>20</v>
      </c>
      <c r="E394" s="2" t="s">
        <v>10</v>
      </c>
      <c r="F394">
        <v>4582</v>
      </c>
      <c r="G394">
        <v>2733.97</v>
      </c>
      <c r="H394">
        <v>0.05</v>
      </c>
    </row>
    <row r="395" spans="1:8" x14ac:dyDescent="0.3">
      <c r="A395">
        <v>394</v>
      </c>
      <c r="B395" s="1">
        <v>45685</v>
      </c>
      <c r="C395" s="2" t="s">
        <v>11</v>
      </c>
      <c r="D395" s="2" t="s">
        <v>9</v>
      </c>
      <c r="E395" s="2" t="s">
        <v>13</v>
      </c>
      <c r="F395">
        <v>2425</v>
      </c>
      <c r="G395">
        <v>2304.65</v>
      </c>
      <c r="H395">
        <v>0.05</v>
      </c>
    </row>
    <row r="396" spans="1:8" x14ac:dyDescent="0.3">
      <c r="A396">
        <v>395</v>
      </c>
      <c r="B396" s="1">
        <v>45686</v>
      </c>
      <c r="C396" s="2" t="s">
        <v>11</v>
      </c>
      <c r="D396" s="2" t="s">
        <v>18</v>
      </c>
      <c r="E396" s="2" t="s">
        <v>10</v>
      </c>
      <c r="F396">
        <v>4719</v>
      </c>
      <c r="G396">
        <v>5927.83</v>
      </c>
      <c r="H396">
        <v>0.05</v>
      </c>
    </row>
    <row r="397" spans="1:8" x14ac:dyDescent="0.3">
      <c r="A397">
        <v>396</v>
      </c>
      <c r="B397" s="1">
        <v>45687</v>
      </c>
      <c r="C397" s="2" t="s">
        <v>17</v>
      </c>
      <c r="D397" s="2" t="s">
        <v>14</v>
      </c>
      <c r="E397" s="2" t="s">
        <v>13</v>
      </c>
      <c r="F397">
        <v>4410</v>
      </c>
      <c r="G397">
        <v>3737.79</v>
      </c>
      <c r="H397">
        <v>7.0000000000000007E-2</v>
      </c>
    </row>
    <row r="398" spans="1:8" x14ac:dyDescent="0.3">
      <c r="A398">
        <v>397</v>
      </c>
      <c r="B398" s="1">
        <v>45688</v>
      </c>
      <c r="C398" s="2" t="s">
        <v>17</v>
      </c>
      <c r="D398" s="2" t="s">
        <v>21</v>
      </c>
      <c r="E398" s="2" t="s">
        <v>10</v>
      </c>
      <c r="F398">
        <v>3574</v>
      </c>
      <c r="G398">
        <v>4163.3900000000003</v>
      </c>
      <c r="H398">
        <v>7.0000000000000007E-2</v>
      </c>
    </row>
    <row r="399" spans="1:8" x14ac:dyDescent="0.3">
      <c r="A399">
        <v>398</v>
      </c>
      <c r="B399" s="1">
        <v>45689</v>
      </c>
      <c r="C399" s="2" t="s">
        <v>8</v>
      </c>
      <c r="D399" s="2" t="s">
        <v>14</v>
      </c>
      <c r="E399" s="2" t="s">
        <v>19</v>
      </c>
      <c r="F399">
        <v>4129</v>
      </c>
      <c r="G399">
        <v>5348.91</v>
      </c>
      <c r="H399">
        <v>0.04</v>
      </c>
    </row>
    <row r="400" spans="1:8" x14ac:dyDescent="0.3">
      <c r="A400">
        <v>399</v>
      </c>
      <c r="B400" s="1">
        <v>45690</v>
      </c>
      <c r="C400" s="2" t="s">
        <v>8</v>
      </c>
      <c r="D400" s="2" t="s">
        <v>20</v>
      </c>
      <c r="E400" s="2" t="s">
        <v>16</v>
      </c>
      <c r="F400">
        <v>4403</v>
      </c>
      <c r="G400">
        <v>6283.86</v>
      </c>
      <c r="H400">
        <v>0.04</v>
      </c>
    </row>
    <row r="401" spans="1:8" x14ac:dyDescent="0.3">
      <c r="A401">
        <v>400</v>
      </c>
      <c r="B401" s="1">
        <v>45691</v>
      </c>
      <c r="C401" s="2" t="s">
        <v>8</v>
      </c>
      <c r="D401" s="2" t="s">
        <v>18</v>
      </c>
      <c r="E401" s="2" t="s">
        <v>10</v>
      </c>
      <c r="F401">
        <v>2588</v>
      </c>
      <c r="G401">
        <v>1901.25</v>
      </c>
      <c r="H401">
        <v>0.04</v>
      </c>
    </row>
    <row r="402" spans="1:8" x14ac:dyDescent="0.3">
      <c r="A402">
        <v>401</v>
      </c>
      <c r="B402" s="1">
        <v>45692</v>
      </c>
      <c r="C402" s="2" t="s">
        <v>17</v>
      </c>
      <c r="D402" s="2" t="s">
        <v>21</v>
      </c>
      <c r="E402" s="2" t="s">
        <v>10</v>
      </c>
      <c r="F402">
        <v>4012</v>
      </c>
      <c r="G402">
        <v>3608.06</v>
      </c>
      <c r="H402">
        <v>7.0000000000000007E-2</v>
      </c>
    </row>
    <row r="403" spans="1:8" x14ac:dyDescent="0.3">
      <c r="A403">
        <v>402</v>
      </c>
      <c r="B403" s="1">
        <v>45693</v>
      </c>
      <c r="C403" s="2" t="s">
        <v>17</v>
      </c>
      <c r="D403" s="2" t="s">
        <v>20</v>
      </c>
      <c r="E403" s="2" t="s">
        <v>16</v>
      </c>
      <c r="F403">
        <v>3547</v>
      </c>
      <c r="G403">
        <v>2314.12</v>
      </c>
      <c r="H403">
        <v>7.0000000000000007E-2</v>
      </c>
    </row>
    <row r="404" spans="1:8" x14ac:dyDescent="0.3">
      <c r="A404">
        <v>403</v>
      </c>
      <c r="B404" s="1">
        <v>45694</v>
      </c>
      <c r="C404" s="2" t="s">
        <v>8</v>
      </c>
      <c r="D404" s="2" t="s">
        <v>9</v>
      </c>
      <c r="E404" s="2" t="s">
        <v>10</v>
      </c>
      <c r="F404">
        <v>2294</v>
      </c>
      <c r="G404">
        <v>3423.76</v>
      </c>
      <c r="H404">
        <v>0.04</v>
      </c>
    </row>
    <row r="405" spans="1:8" x14ac:dyDescent="0.3">
      <c r="A405">
        <v>404</v>
      </c>
      <c r="B405" s="1">
        <v>45695</v>
      </c>
      <c r="C405" s="2" t="s">
        <v>8</v>
      </c>
      <c r="D405" s="2" t="s">
        <v>12</v>
      </c>
      <c r="E405" s="2" t="s">
        <v>10</v>
      </c>
      <c r="F405">
        <v>3985</v>
      </c>
      <c r="G405">
        <v>5686.6</v>
      </c>
      <c r="H405">
        <v>0.04</v>
      </c>
    </row>
    <row r="406" spans="1:8" x14ac:dyDescent="0.3">
      <c r="A406">
        <v>405</v>
      </c>
      <c r="B406" s="1">
        <v>45696</v>
      </c>
      <c r="C406" s="2" t="s">
        <v>17</v>
      </c>
      <c r="D406" s="2" t="s">
        <v>14</v>
      </c>
      <c r="E406" s="2" t="s">
        <v>13</v>
      </c>
      <c r="F406">
        <v>3247</v>
      </c>
      <c r="G406">
        <v>3376.74</v>
      </c>
      <c r="H406">
        <v>7.0000000000000007E-2</v>
      </c>
    </row>
    <row r="407" spans="1:8" x14ac:dyDescent="0.3">
      <c r="A407">
        <v>406</v>
      </c>
      <c r="B407" s="1">
        <v>45697</v>
      </c>
      <c r="C407" s="2" t="s">
        <v>8</v>
      </c>
      <c r="D407" s="2" t="s">
        <v>15</v>
      </c>
      <c r="E407" s="2" t="s">
        <v>16</v>
      </c>
      <c r="F407">
        <v>3548</v>
      </c>
      <c r="G407">
        <v>4761.53</v>
      </c>
      <c r="H407">
        <v>0.04</v>
      </c>
    </row>
    <row r="408" spans="1:8" x14ac:dyDescent="0.3">
      <c r="A408">
        <v>407</v>
      </c>
      <c r="B408" s="1">
        <v>45698</v>
      </c>
      <c r="C408" s="2" t="s">
        <v>11</v>
      </c>
      <c r="D408" s="2" t="s">
        <v>15</v>
      </c>
      <c r="E408" s="2" t="s">
        <v>19</v>
      </c>
      <c r="F408">
        <v>3690</v>
      </c>
      <c r="G408">
        <v>3767.33</v>
      </c>
      <c r="H408">
        <v>0.05</v>
      </c>
    </row>
    <row r="409" spans="1:8" x14ac:dyDescent="0.3">
      <c r="A409">
        <v>408</v>
      </c>
      <c r="B409" s="1">
        <v>45699</v>
      </c>
      <c r="C409" s="2" t="s">
        <v>17</v>
      </c>
      <c r="D409" s="2" t="s">
        <v>18</v>
      </c>
      <c r="E409" s="2" t="s">
        <v>10</v>
      </c>
      <c r="F409">
        <v>3136</v>
      </c>
      <c r="G409">
        <v>3523.56</v>
      </c>
      <c r="H409">
        <v>7.0000000000000007E-2</v>
      </c>
    </row>
    <row r="410" spans="1:8" x14ac:dyDescent="0.3">
      <c r="A410">
        <v>409</v>
      </c>
      <c r="B410" s="1">
        <v>45700</v>
      </c>
      <c r="C410" s="2" t="s">
        <v>8</v>
      </c>
      <c r="D410" s="2" t="s">
        <v>9</v>
      </c>
      <c r="E410" s="2" t="s">
        <v>16</v>
      </c>
      <c r="F410">
        <v>3256</v>
      </c>
      <c r="G410">
        <v>1918.19</v>
      </c>
      <c r="H410">
        <v>0.04</v>
      </c>
    </row>
    <row r="411" spans="1:8" x14ac:dyDescent="0.3">
      <c r="A411">
        <v>410</v>
      </c>
      <c r="B411" s="1">
        <v>45701</v>
      </c>
      <c r="C411" s="2" t="s">
        <v>17</v>
      </c>
      <c r="D411" s="2" t="s">
        <v>14</v>
      </c>
      <c r="E411" s="2" t="s">
        <v>13</v>
      </c>
      <c r="F411">
        <v>4064</v>
      </c>
      <c r="G411">
        <v>5101.42</v>
      </c>
      <c r="H411">
        <v>7.0000000000000007E-2</v>
      </c>
    </row>
    <row r="412" spans="1:8" x14ac:dyDescent="0.3">
      <c r="A412">
        <v>411</v>
      </c>
      <c r="B412" s="1">
        <v>45702</v>
      </c>
      <c r="C412" s="2" t="s">
        <v>11</v>
      </c>
      <c r="D412" s="2" t="s">
        <v>9</v>
      </c>
      <c r="E412" s="2" t="s">
        <v>19</v>
      </c>
      <c r="F412">
        <v>2359</v>
      </c>
      <c r="G412">
        <v>1480.78</v>
      </c>
      <c r="H412">
        <v>0.05</v>
      </c>
    </row>
    <row r="413" spans="1:8" x14ac:dyDescent="0.3">
      <c r="A413">
        <v>412</v>
      </c>
      <c r="B413" s="1">
        <v>45703</v>
      </c>
      <c r="C413" s="2" t="s">
        <v>17</v>
      </c>
      <c r="D413" s="2" t="s">
        <v>14</v>
      </c>
      <c r="E413" s="2" t="s">
        <v>16</v>
      </c>
      <c r="F413">
        <v>4913</v>
      </c>
      <c r="H413">
        <v>7.0000000000000007E-2</v>
      </c>
    </row>
    <row r="414" spans="1:8" x14ac:dyDescent="0.3">
      <c r="A414">
        <v>413</v>
      </c>
      <c r="B414" s="1">
        <v>45704</v>
      </c>
      <c r="C414" s="2" t="s">
        <v>17</v>
      </c>
      <c r="D414" s="2" t="s">
        <v>18</v>
      </c>
      <c r="E414" s="2" t="s">
        <v>19</v>
      </c>
      <c r="F414">
        <v>2699</v>
      </c>
      <c r="G414">
        <v>3460.19</v>
      </c>
      <c r="H414">
        <v>7.0000000000000007E-2</v>
      </c>
    </row>
    <row r="415" spans="1:8" x14ac:dyDescent="0.3">
      <c r="A415">
        <v>414</v>
      </c>
      <c r="B415" s="1">
        <v>45705</v>
      </c>
      <c r="C415" s="2" t="s">
        <v>17</v>
      </c>
      <c r="D415" s="2" t="s">
        <v>18</v>
      </c>
      <c r="E415" s="2" t="s">
        <v>19</v>
      </c>
      <c r="F415">
        <v>2447</v>
      </c>
      <c r="G415">
        <v>2957.8</v>
      </c>
      <c r="H415">
        <v>7.0000000000000007E-2</v>
      </c>
    </row>
    <row r="416" spans="1:8" x14ac:dyDescent="0.3">
      <c r="A416">
        <v>415</v>
      </c>
      <c r="B416" s="1">
        <v>45706</v>
      </c>
      <c r="C416" s="2" t="s">
        <v>17</v>
      </c>
      <c r="D416" s="2" t="s">
        <v>15</v>
      </c>
      <c r="E416" s="2" t="s">
        <v>19</v>
      </c>
      <c r="F416">
        <v>4903</v>
      </c>
      <c r="G416">
        <v>2628.79</v>
      </c>
      <c r="H416">
        <v>7.0000000000000007E-2</v>
      </c>
    </row>
    <row r="417" spans="1:8" x14ac:dyDescent="0.3">
      <c r="A417">
        <v>416</v>
      </c>
      <c r="B417" s="1">
        <v>45707</v>
      </c>
      <c r="C417" s="2" t="s">
        <v>11</v>
      </c>
      <c r="D417" s="2" t="s">
        <v>9</v>
      </c>
      <c r="E417" s="2" t="s">
        <v>10</v>
      </c>
      <c r="F417">
        <v>4412</v>
      </c>
      <c r="G417">
        <v>3543.4</v>
      </c>
      <c r="H417">
        <v>0.05</v>
      </c>
    </row>
    <row r="418" spans="1:8" x14ac:dyDescent="0.3">
      <c r="A418">
        <v>417</v>
      </c>
      <c r="B418" s="1">
        <v>45708</v>
      </c>
      <c r="C418" s="2" t="s">
        <v>17</v>
      </c>
      <c r="D418" s="2" t="s">
        <v>21</v>
      </c>
      <c r="E418" s="2" t="s">
        <v>10</v>
      </c>
      <c r="F418">
        <v>2674</v>
      </c>
      <c r="G418">
        <v>2040.56</v>
      </c>
      <c r="H418">
        <v>7.0000000000000007E-2</v>
      </c>
    </row>
    <row r="419" spans="1:8" x14ac:dyDescent="0.3">
      <c r="A419">
        <v>418</v>
      </c>
      <c r="B419" s="1">
        <v>45709</v>
      </c>
      <c r="C419" s="2" t="s">
        <v>17</v>
      </c>
      <c r="D419" s="2" t="s">
        <v>15</v>
      </c>
      <c r="E419" s="2" t="s">
        <v>13</v>
      </c>
      <c r="F419">
        <v>3007</v>
      </c>
      <c r="G419">
        <v>2586.4299999999998</v>
      </c>
      <c r="H419">
        <v>7.0000000000000007E-2</v>
      </c>
    </row>
    <row r="420" spans="1:8" x14ac:dyDescent="0.3">
      <c r="A420">
        <v>419</v>
      </c>
      <c r="B420" s="1">
        <v>45710</v>
      </c>
      <c r="C420" s="2" t="s">
        <v>8</v>
      </c>
      <c r="D420" s="2" t="s">
        <v>9</v>
      </c>
      <c r="E420" s="2" t="s">
        <v>13</v>
      </c>
      <c r="F420">
        <v>3349</v>
      </c>
      <c r="G420">
        <v>1968.02</v>
      </c>
      <c r="H420">
        <v>0.04</v>
      </c>
    </row>
    <row r="421" spans="1:8" x14ac:dyDescent="0.3">
      <c r="A421">
        <v>420</v>
      </c>
      <c r="B421" s="1">
        <v>45711</v>
      </c>
      <c r="C421" s="2" t="s">
        <v>17</v>
      </c>
      <c r="D421" s="2" t="s">
        <v>15</v>
      </c>
      <c r="E421" s="2" t="s">
        <v>16</v>
      </c>
      <c r="F421">
        <v>4514</v>
      </c>
      <c r="G421">
        <v>6486.43</v>
      </c>
      <c r="H421">
        <v>7.0000000000000007E-2</v>
      </c>
    </row>
    <row r="422" spans="1:8" x14ac:dyDescent="0.3">
      <c r="A422">
        <v>421</v>
      </c>
      <c r="B422" s="1">
        <v>45712</v>
      </c>
      <c r="C422" s="2" t="s">
        <v>8</v>
      </c>
      <c r="D422" s="2" t="s">
        <v>21</v>
      </c>
      <c r="E422" s="2" t="s">
        <v>13</v>
      </c>
      <c r="F422">
        <v>4461</v>
      </c>
      <c r="G422">
        <v>4701.01</v>
      </c>
      <c r="H422">
        <v>0.04</v>
      </c>
    </row>
    <row r="423" spans="1:8" x14ac:dyDescent="0.3">
      <c r="A423">
        <v>422</v>
      </c>
      <c r="B423" s="1">
        <v>45713</v>
      </c>
      <c r="C423" s="2" t="s">
        <v>11</v>
      </c>
      <c r="D423" s="2" t="s">
        <v>12</v>
      </c>
      <c r="E423" s="2" t="s">
        <v>19</v>
      </c>
      <c r="F423">
        <v>2585</v>
      </c>
      <c r="G423">
        <v>2082.2800000000002</v>
      </c>
      <c r="H423">
        <v>0.05</v>
      </c>
    </row>
    <row r="424" spans="1:8" x14ac:dyDescent="0.3">
      <c r="A424">
        <v>423</v>
      </c>
      <c r="B424" s="1">
        <v>45714</v>
      </c>
      <c r="C424" s="2" t="s">
        <v>11</v>
      </c>
      <c r="D424" s="2" t="s">
        <v>12</v>
      </c>
      <c r="E424" s="2" t="s">
        <v>19</v>
      </c>
      <c r="F424">
        <v>3256</v>
      </c>
      <c r="G424">
        <v>2920.57</v>
      </c>
      <c r="H424">
        <v>0.05</v>
      </c>
    </row>
    <row r="425" spans="1:8" x14ac:dyDescent="0.3">
      <c r="A425">
        <v>424</v>
      </c>
      <c r="B425" s="1">
        <v>45715</v>
      </c>
      <c r="C425" s="2" t="s">
        <v>11</v>
      </c>
      <c r="D425" s="2" t="s">
        <v>12</v>
      </c>
      <c r="E425" s="2" t="s">
        <v>10</v>
      </c>
      <c r="F425">
        <v>3247</v>
      </c>
      <c r="G425">
        <v>3075.57</v>
      </c>
      <c r="H425">
        <v>0.05</v>
      </c>
    </row>
    <row r="426" spans="1:8" x14ac:dyDescent="0.3">
      <c r="A426">
        <v>425</v>
      </c>
      <c r="B426" s="1">
        <v>45716</v>
      </c>
      <c r="C426" s="2" t="s">
        <v>11</v>
      </c>
      <c r="D426" s="2" t="s">
        <v>12</v>
      </c>
      <c r="E426" s="2" t="s">
        <v>19</v>
      </c>
      <c r="F426">
        <v>2993</v>
      </c>
      <c r="G426">
        <v>3294.08</v>
      </c>
      <c r="H426">
        <v>0.05</v>
      </c>
    </row>
    <row r="427" spans="1:8" x14ac:dyDescent="0.3">
      <c r="A427">
        <v>426</v>
      </c>
      <c r="B427" s="1">
        <v>45717</v>
      </c>
      <c r="C427" s="2" t="s">
        <v>8</v>
      </c>
      <c r="D427" s="2" t="s">
        <v>20</v>
      </c>
      <c r="E427" s="2" t="s">
        <v>16</v>
      </c>
      <c r="F427">
        <v>3435</v>
      </c>
      <c r="G427">
        <v>3488.86</v>
      </c>
      <c r="H427">
        <v>0.04</v>
      </c>
    </row>
    <row r="428" spans="1:8" x14ac:dyDescent="0.3">
      <c r="A428">
        <v>427</v>
      </c>
      <c r="B428" s="1">
        <v>45718</v>
      </c>
      <c r="C428" s="2" t="s">
        <v>17</v>
      </c>
      <c r="D428" s="2" t="s">
        <v>14</v>
      </c>
      <c r="E428" s="2" t="s">
        <v>19</v>
      </c>
      <c r="F428">
        <v>2571</v>
      </c>
      <c r="G428">
        <v>3649.26</v>
      </c>
      <c r="H428">
        <v>7.0000000000000007E-2</v>
      </c>
    </row>
    <row r="429" spans="1:8" x14ac:dyDescent="0.3">
      <c r="A429">
        <v>428</v>
      </c>
      <c r="B429" s="1">
        <v>45719</v>
      </c>
      <c r="C429" s="2" t="s">
        <v>11</v>
      </c>
      <c r="D429" s="2" t="s">
        <v>20</v>
      </c>
      <c r="E429" s="2" t="s">
        <v>19</v>
      </c>
      <c r="F429">
        <v>4382</v>
      </c>
      <c r="G429">
        <v>4368.6899999999996</v>
      </c>
      <c r="H429">
        <v>0.05</v>
      </c>
    </row>
    <row r="430" spans="1:8" x14ac:dyDescent="0.3">
      <c r="A430">
        <v>429</v>
      </c>
      <c r="B430" s="1">
        <v>45720</v>
      </c>
      <c r="C430" s="2" t="s">
        <v>17</v>
      </c>
      <c r="D430" s="2" t="s">
        <v>20</v>
      </c>
      <c r="E430" s="2" t="s">
        <v>16</v>
      </c>
      <c r="F430">
        <v>3245</v>
      </c>
      <c r="G430">
        <v>4842.05</v>
      </c>
      <c r="H430">
        <v>7.0000000000000007E-2</v>
      </c>
    </row>
    <row r="431" spans="1:8" x14ac:dyDescent="0.3">
      <c r="A431">
        <v>430</v>
      </c>
      <c r="B431" s="1">
        <v>45721</v>
      </c>
      <c r="C431" s="2" t="s">
        <v>8</v>
      </c>
      <c r="D431" s="2" t="s">
        <v>20</v>
      </c>
      <c r="E431" s="2" t="s">
        <v>13</v>
      </c>
      <c r="F431">
        <v>4084</v>
      </c>
      <c r="G431">
        <v>5519.22</v>
      </c>
      <c r="H431">
        <v>0.04</v>
      </c>
    </row>
    <row r="432" spans="1:8" x14ac:dyDescent="0.3">
      <c r="A432">
        <v>431</v>
      </c>
      <c r="B432" s="1">
        <v>45722</v>
      </c>
      <c r="C432" s="2" t="s">
        <v>8</v>
      </c>
      <c r="D432" s="2" t="s">
        <v>12</v>
      </c>
      <c r="E432" s="2" t="s">
        <v>13</v>
      </c>
      <c r="F432">
        <v>2988</v>
      </c>
      <c r="G432">
        <v>2117.0300000000002</v>
      </c>
      <c r="H432">
        <v>0.04</v>
      </c>
    </row>
    <row r="433" spans="1:8" x14ac:dyDescent="0.3">
      <c r="A433">
        <v>432</v>
      </c>
      <c r="B433" s="1">
        <v>45723</v>
      </c>
      <c r="C433" s="2" t="s">
        <v>8</v>
      </c>
      <c r="D433" s="2" t="s">
        <v>21</v>
      </c>
      <c r="E433" s="2" t="s">
        <v>16</v>
      </c>
      <c r="F433">
        <v>2277</v>
      </c>
      <c r="G433">
        <v>3257.47</v>
      </c>
      <c r="H433">
        <v>0.04</v>
      </c>
    </row>
    <row r="434" spans="1:8" x14ac:dyDescent="0.3">
      <c r="A434">
        <v>433</v>
      </c>
      <c r="B434" s="1">
        <v>45724</v>
      </c>
      <c r="C434" s="2" t="s">
        <v>11</v>
      </c>
      <c r="D434" s="2" t="s">
        <v>18</v>
      </c>
      <c r="E434" s="2" t="s">
        <v>10</v>
      </c>
      <c r="F434">
        <v>3219</v>
      </c>
      <c r="G434">
        <v>1984.08</v>
      </c>
      <c r="H434">
        <v>0.05</v>
      </c>
    </row>
    <row r="435" spans="1:8" x14ac:dyDescent="0.3">
      <c r="A435">
        <v>434</v>
      </c>
      <c r="B435" s="1">
        <v>45725</v>
      </c>
      <c r="C435" s="2" t="s">
        <v>17</v>
      </c>
      <c r="D435" s="2" t="s">
        <v>18</v>
      </c>
      <c r="E435" s="2" t="s">
        <v>19</v>
      </c>
      <c r="F435">
        <v>4963</v>
      </c>
      <c r="G435">
        <v>6538.5</v>
      </c>
      <c r="H435">
        <v>7.0000000000000007E-2</v>
      </c>
    </row>
    <row r="436" spans="1:8" x14ac:dyDescent="0.3">
      <c r="A436">
        <v>435</v>
      </c>
      <c r="B436" s="1">
        <v>45726</v>
      </c>
      <c r="C436" s="2" t="s">
        <v>17</v>
      </c>
      <c r="D436" s="2" t="s">
        <v>14</v>
      </c>
      <c r="E436" s="2" t="s">
        <v>16</v>
      </c>
      <c r="F436">
        <v>3887</v>
      </c>
      <c r="G436">
        <v>3422.98</v>
      </c>
      <c r="H436">
        <v>7.0000000000000007E-2</v>
      </c>
    </row>
    <row r="437" spans="1:8" x14ac:dyDescent="0.3">
      <c r="A437">
        <v>436</v>
      </c>
      <c r="B437" s="1">
        <v>45727</v>
      </c>
      <c r="C437" s="2" t="s">
        <v>17</v>
      </c>
      <c r="D437" s="2" t="s">
        <v>12</v>
      </c>
      <c r="E437" s="2" t="s">
        <v>19</v>
      </c>
      <c r="F437">
        <v>2483</v>
      </c>
      <c r="G437">
        <v>3421.51</v>
      </c>
      <c r="H437">
        <v>7.0000000000000007E-2</v>
      </c>
    </row>
    <row r="438" spans="1:8" x14ac:dyDescent="0.3">
      <c r="A438">
        <v>437</v>
      </c>
      <c r="B438" s="1">
        <v>45728</v>
      </c>
      <c r="C438" s="2" t="s">
        <v>8</v>
      </c>
      <c r="D438" s="2" t="s">
        <v>12</v>
      </c>
      <c r="E438" s="2" t="s">
        <v>10</v>
      </c>
      <c r="F438">
        <v>3265</v>
      </c>
      <c r="G438">
        <v>-100</v>
      </c>
      <c r="H438">
        <v>0.04</v>
      </c>
    </row>
    <row r="439" spans="1:8" x14ac:dyDescent="0.3">
      <c r="A439">
        <v>438</v>
      </c>
      <c r="B439" s="1">
        <v>45729</v>
      </c>
      <c r="C439" s="2" t="s">
        <v>11</v>
      </c>
      <c r="D439" s="2" t="s">
        <v>12</v>
      </c>
      <c r="E439" s="2" t="s">
        <v>19</v>
      </c>
      <c r="F439">
        <v>2730</v>
      </c>
      <c r="G439">
        <v>3565.18</v>
      </c>
      <c r="H439">
        <v>0.05</v>
      </c>
    </row>
    <row r="440" spans="1:8" x14ac:dyDescent="0.3">
      <c r="A440">
        <v>439</v>
      </c>
      <c r="B440" s="1">
        <v>45730</v>
      </c>
      <c r="C440" s="2" t="s">
        <v>8</v>
      </c>
      <c r="D440" s="2" t="s">
        <v>15</v>
      </c>
      <c r="E440" s="2" t="s">
        <v>16</v>
      </c>
      <c r="F440">
        <v>4239</v>
      </c>
      <c r="G440">
        <v>5468.44</v>
      </c>
      <c r="H440">
        <v>0.04</v>
      </c>
    </row>
    <row r="441" spans="1:8" x14ac:dyDescent="0.3">
      <c r="A441">
        <v>440</v>
      </c>
      <c r="B441" s="1">
        <v>45731</v>
      </c>
      <c r="C441" s="2" t="s">
        <v>8</v>
      </c>
      <c r="D441" s="2" t="s">
        <v>9</v>
      </c>
      <c r="E441" s="2" t="s">
        <v>19</v>
      </c>
      <c r="F441">
        <v>3040</v>
      </c>
      <c r="G441">
        <v>2446.2199999999998</v>
      </c>
      <c r="H441">
        <v>0.04</v>
      </c>
    </row>
    <row r="442" spans="1:8" x14ac:dyDescent="0.3">
      <c r="A442">
        <v>441</v>
      </c>
      <c r="B442" s="1">
        <v>45732</v>
      </c>
      <c r="C442" s="2" t="s">
        <v>17</v>
      </c>
      <c r="D442" s="2" t="s">
        <v>15</v>
      </c>
      <c r="E442" s="2" t="s">
        <v>13</v>
      </c>
      <c r="F442">
        <v>4571</v>
      </c>
      <c r="G442">
        <v>2655.38</v>
      </c>
      <c r="H442">
        <v>7.0000000000000007E-2</v>
      </c>
    </row>
    <row r="443" spans="1:8" x14ac:dyDescent="0.3">
      <c r="A443">
        <v>442</v>
      </c>
      <c r="B443" s="1">
        <v>45733</v>
      </c>
      <c r="C443" s="2" t="s">
        <v>8</v>
      </c>
      <c r="D443" s="2" t="s">
        <v>9</v>
      </c>
      <c r="E443" s="2" t="s">
        <v>10</v>
      </c>
      <c r="F443">
        <v>2917</v>
      </c>
      <c r="G443">
        <v>2633.99</v>
      </c>
      <c r="H443">
        <v>0.04</v>
      </c>
    </row>
    <row r="444" spans="1:8" x14ac:dyDescent="0.3">
      <c r="A444">
        <v>443</v>
      </c>
      <c r="B444" s="1">
        <v>45734</v>
      </c>
      <c r="C444" s="2" t="s">
        <v>17</v>
      </c>
      <c r="D444" s="2" t="s">
        <v>12</v>
      </c>
      <c r="E444" s="2" t="s">
        <v>10</v>
      </c>
      <c r="F444">
        <v>4448</v>
      </c>
      <c r="G444">
        <v>2995.84</v>
      </c>
      <c r="H444">
        <v>7.0000000000000007E-2</v>
      </c>
    </row>
    <row r="445" spans="1:8" x14ac:dyDescent="0.3">
      <c r="A445">
        <v>444</v>
      </c>
      <c r="B445" s="1">
        <v>45735</v>
      </c>
      <c r="C445" s="2" t="s">
        <v>11</v>
      </c>
      <c r="D445" s="2" t="s">
        <v>12</v>
      </c>
      <c r="E445" s="2" t="s">
        <v>10</v>
      </c>
      <c r="F445">
        <v>2885</v>
      </c>
      <c r="G445">
        <v>3447.43</v>
      </c>
      <c r="H445">
        <v>0.05</v>
      </c>
    </row>
    <row r="446" spans="1:8" x14ac:dyDescent="0.3">
      <c r="A446">
        <v>445</v>
      </c>
      <c r="B446" s="1">
        <v>45736</v>
      </c>
      <c r="C446" s="2" t="s">
        <v>17</v>
      </c>
      <c r="D446" s="2" t="s">
        <v>15</v>
      </c>
      <c r="E446" s="2" t="s">
        <v>16</v>
      </c>
      <c r="F446">
        <v>4752</v>
      </c>
      <c r="G446">
        <v>4020.67</v>
      </c>
      <c r="H446">
        <v>7.0000000000000007E-2</v>
      </c>
    </row>
    <row r="447" spans="1:8" x14ac:dyDescent="0.3">
      <c r="A447">
        <v>446</v>
      </c>
      <c r="B447" s="1">
        <v>45737</v>
      </c>
      <c r="C447" s="2" t="s">
        <v>11</v>
      </c>
      <c r="D447" s="2" t="s">
        <v>15</v>
      </c>
      <c r="E447" s="2" t="s">
        <v>10</v>
      </c>
      <c r="F447">
        <v>2021</v>
      </c>
      <c r="G447">
        <v>2982.21</v>
      </c>
      <c r="H447">
        <v>0.05</v>
      </c>
    </row>
    <row r="448" spans="1:8" x14ac:dyDescent="0.3">
      <c r="A448">
        <v>447</v>
      </c>
      <c r="B448" s="1">
        <v>45738</v>
      </c>
      <c r="C448" s="2" t="s">
        <v>17</v>
      </c>
      <c r="D448" s="2" t="s">
        <v>9</v>
      </c>
      <c r="E448" s="2" t="s">
        <v>13</v>
      </c>
      <c r="F448">
        <v>2473</v>
      </c>
      <c r="G448">
        <v>2821.62</v>
      </c>
      <c r="H448">
        <v>7.0000000000000007E-2</v>
      </c>
    </row>
    <row r="449" spans="1:8" x14ac:dyDescent="0.3">
      <c r="A449">
        <v>448</v>
      </c>
      <c r="B449" s="1">
        <v>45739</v>
      </c>
      <c r="C449" s="2" t="s">
        <v>8</v>
      </c>
      <c r="D449" s="2" t="s">
        <v>18</v>
      </c>
      <c r="E449" s="2" t="s">
        <v>16</v>
      </c>
      <c r="F449">
        <v>4257</v>
      </c>
      <c r="G449">
        <v>5629.8</v>
      </c>
      <c r="H449">
        <v>0.04</v>
      </c>
    </row>
    <row r="450" spans="1:8" x14ac:dyDescent="0.3">
      <c r="A450">
        <v>449</v>
      </c>
      <c r="B450" s="1">
        <v>45740</v>
      </c>
      <c r="C450" s="2" t="s">
        <v>8</v>
      </c>
      <c r="D450" s="2" t="s">
        <v>9</v>
      </c>
      <c r="E450" s="2" t="s">
        <v>13</v>
      </c>
      <c r="F450">
        <v>4353</v>
      </c>
      <c r="G450">
        <v>2753.38</v>
      </c>
      <c r="H450">
        <v>0.04</v>
      </c>
    </row>
    <row r="451" spans="1:8" x14ac:dyDescent="0.3">
      <c r="A451">
        <v>450</v>
      </c>
      <c r="B451" s="1">
        <v>45741</v>
      </c>
      <c r="C451" s="2" t="s">
        <v>11</v>
      </c>
      <c r="D451" s="2" t="s">
        <v>15</v>
      </c>
      <c r="E451" s="2" t="s">
        <v>19</v>
      </c>
      <c r="F451">
        <v>2703</v>
      </c>
      <c r="G451">
        <v>3681.53</v>
      </c>
      <c r="H451">
        <v>0.05</v>
      </c>
    </row>
    <row r="452" spans="1:8" x14ac:dyDescent="0.3">
      <c r="A452">
        <v>451</v>
      </c>
      <c r="B452" s="1">
        <v>45742</v>
      </c>
      <c r="C452" s="2" t="s">
        <v>11</v>
      </c>
      <c r="D452" s="2" t="s">
        <v>21</v>
      </c>
      <c r="E452" s="2" t="s">
        <v>19</v>
      </c>
      <c r="F452">
        <v>2686</v>
      </c>
      <c r="G452">
        <v>-100</v>
      </c>
      <c r="H452">
        <v>0.05</v>
      </c>
    </row>
    <row r="453" spans="1:8" x14ac:dyDescent="0.3">
      <c r="A453">
        <v>452</v>
      </c>
      <c r="B453" s="1">
        <v>45743</v>
      </c>
      <c r="C453" s="2" t="s">
        <v>11</v>
      </c>
      <c r="D453" s="2" t="s">
        <v>15</v>
      </c>
      <c r="E453" s="2" t="s">
        <v>19</v>
      </c>
      <c r="F453">
        <v>2284</v>
      </c>
      <c r="G453">
        <v>2254.4499999999998</v>
      </c>
      <c r="H453">
        <v>0.05</v>
      </c>
    </row>
    <row r="454" spans="1:8" x14ac:dyDescent="0.3">
      <c r="A454">
        <v>453</v>
      </c>
      <c r="B454" s="1">
        <v>45744</v>
      </c>
      <c r="C454" s="2" t="s">
        <v>17</v>
      </c>
      <c r="D454" s="2" t="s">
        <v>21</v>
      </c>
      <c r="E454" s="2" t="s">
        <v>19</v>
      </c>
      <c r="F454">
        <v>2715</v>
      </c>
      <c r="G454">
        <v>3003.48</v>
      </c>
      <c r="H454">
        <v>7.0000000000000007E-2</v>
      </c>
    </row>
    <row r="455" spans="1:8" x14ac:dyDescent="0.3">
      <c r="A455">
        <v>454</v>
      </c>
      <c r="B455" s="1">
        <v>45745</v>
      </c>
      <c r="C455" s="2" t="s">
        <v>17</v>
      </c>
      <c r="D455" s="2" t="s">
        <v>14</v>
      </c>
      <c r="E455" s="2" t="s">
        <v>13</v>
      </c>
      <c r="F455">
        <v>2762</v>
      </c>
      <c r="G455">
        <v>3493.4</v>
      </c>
      <c r="H455">
        <v>7.0000000000000007E-2</v>
      </c>
    </row>
    <row r="456" spans="1:8" x14ac:dyDescent="0.3">
      <c r="A456">
        <v>455</v>
      </c>
      <c r="B456" s="1">
        <v>45746</v>
      </c>
      <c r="C456" s="2" t="s">
        <v>11</v>
      </c>
      <c r="D456" s="2" t="s">
        <v>15</v>
      </c>
      <c r="E456" s="2" t="s">
        <v>16</v>
      </c>
      <c r="F456">
        <v>3250</v>
      </c>
      <c r="G456">
        <v>2193.23</v>
      </c>
      <c r="H456">
        <v>0.05</v>
      </c>
    </row>
    <row r="457" spans="1:8" x14ac:dyDescent="0.3">
      <c r="A457">
        <v>456</v>
      </c>
      <c r="B457" s="1">
        <v>45747</v>
      </c>
      <c r="C457" s="2" t="s">
        <v>8</v>
      </c>
      <c r="D457" s="2" t="s">
        <v>14</v>
      </c>
      <c r="E457" s="2" t="s">
        <v>16</v>
      </c>
      <c r="F457">
        <v>2947</v>
      </c>
      <c r="G457">
        <v>2954.56</v>
      </c>
      <c r="H457">
        <v>0.04</v>
      </c>
    </row>
    <row r="458" spans="1:8" x14ac:dyDescent="0.3">
      <c r="A458">
        <v>457</v>
      </c>
      <c r="B458" s="1">
        <v>45748</v>
      </c>
      <c r="C458" s="2" t="s">
        <v>17</v>
      </c>
      <c r="D458" s="2" t="s">
        <v>18</v>
      </c>
      <c r="E458" s="2" t="s">
        <v>10</v>
      </c>
      <c r="F458">
        <v>4428</v>
      </c>
      <c r="G458">
        <v>3979.28</v>
      </c>
      <c r="H458">
        <v>7.0000000000000007E-2</v>
      </c>
    </row>
    <row r="459" spans="1:8" x14ac:dyDescent="0.3">
      <c r="A459">
        <v>458</v>
      </c>
      <c r="B459" s="1">
        <v>45749</v>
      </c>
      <c r="C459" s="2" t="s">
        <v>17</v>
      </c>
      <c r="D459" s="2" t="s">
        <v>9</v>
      </c>
      <c r="E459" s="2" t="s">
        <v>13</v>
      </c>
      <c r="F459">
        <v>4507</v>
      </c>
      <c r="G459">
        <v>2913.21</v>
      </c>
      <c r="H459">
        <v>7.0000000000000007E-2</v>
      </c>
    </row>
    <row r="460" spans="1:8" x14ac:dyDescent="0.3">
      <c r="A460">
        <v>459</v>
      </c>
      <c r="B460" s="1">
        <v>45750</v>
      </c>
      <c r="C460" s="2" t="s">
        <v>17</v>
      </c>
      <c r="D460" s="2" t="s">
        <v>21</v>
      </c>
      <c r="E460" s="2" t="s">
        <v>19</v>
      </c>
      <c r="F460">
        <v>3030</v>
      </c>
      <c r="G460">
        <v>2628.63</v>
      </c>
      <c r="H460">
        <v>7.0000000000000007E-2</v>
      </c>
    </row>
    <row r="461" spans="1:8" x14ac:dyDescent="0.3">
      <c r="A461">
        <v>460</v>
      </c>
      <c r="B461" s="1">
        <v>45751</v>
      </c>
      <c r="C461" s="2" t="s">
        <v>11</v>
      </c>
      <c r="D461" s="2" t="s">
        <v>9</v>
      </c>
      <c r="E461" s="2" t="s">
        <v>13</v>
      </c>
      <c r="F461">
        <v>2028</v>
      </c>
      <c r="G461">
        <v>1152.25</v>
      </c>
      <c r="H461">
        <v>0.05</v>
      </c>
    </row>
    <row r="462" spans="1:8" x14ac:dyDescent="0.3">
      <c r="A462">
        <v>461</v>
      </c>
      <c r="B462" s="1">
        <v>45752</v>
      </c>
      <c r="C462" s="2" t="s">
        <v>11</v>
      </c>
      <c r="D462" s="2" t="s">
        <v>14</v>
      </c>
      <c r="E462" s="2" t="s">
        <v>10</v>
      </c>
      <c r="F462">
        <v>2906</v>
      </c>
      <c r="G462">
        <v>1528.01</v>
      </c>
      <c r="H462">
        <v>0.05</v>
      </c>
    </row>
    <row r="463" spans="1:8" x14ac:dyDescent="0.3">
      <c r="A463">
        <v>462</v>
      </c>
      <c r="B463" s="1">
        <v>45753</v>
      </c>
      <c r="C463" s="2" t="s">
        <v>11</v>
      </c>
      <c r="D463" s="2" t="s">
        <v>21</v>
      </c>
      <c r="E463" s="2" t="s">
        <v>10</v>
      </c>
      <c r="F463">
        <v>4926</v>
      </c>
      <c r="G463">
        <v>3128.83</v>
      </c>
      <c r="H463">
        <v>0.05</v>
      </c>
    </row>
    <row r="464" spans="1:8" x14ac:dyDescent="0.3">
      <c r="A464">
        <v>463</v>
      </c>
      <c r="B464" s="1">
        <v>45754</v>
      </c>
      <c r="C464" s="2" t="s">
        <v>11</v>
      </c>
      <c r="D464" s="2" t="s">
        <v>9</v>
      </c>
      <c r="E464" s="2" t="s">
        <v>13</v>
      </c>
      <c r="F464">
        <v>4126</v>
      </c>
      <c r="G464">
        <v>6036.81</v>
      </c>
      <c r="H464">
        <v>0.05</v>
      </c>
    </row>
    <row r="465" spans="1:8" x14ac:dyDescent="0.3">
      <c r="A465">
        <v>464</v>
      </c>
      <c r="B465" s="1">
        <v>45755</v>
      </c>
      <c r="C465" s="2" t="s">
        <v>11</v>
      </c>
      <c r="D465" s="2" t="s">
        <v>15</v>
      </c>
      <c r="E465" s="2" t="s">
        <v>13</v>
      </c>
      <c r="F465">
        <v>4994</v>
      </c>
      <c r="G465">
        <v>5241.3500000000004</v>
      </c>
      <c r="H465">
        <v>0.05</v>
      </c>
    </row>
    <row r="466" spans="1:8" x14ac:dyDescent="0.3">
      <c r="A466">
        <v>465</v>
      </c>
      <c r="B466" s="1">
        <v>45756</v>
      </c>
      <c r="C466" s="2" t="s">
        <v>8</v>
      </c>
      <c r="D466" s="2" t="s">
        <v>12</v>
      </c>
      <c r="E466" s="2" t="s">
        <v>13</v>
      </c>
      <c r="F466">
        <v>4506</v>
      </c>
      <c r="G466">
        <v>6604.99</v>
      </c>
      <c r="H466">
        <v>0.04</v>
      </c>
    </row>
    <row r="467" spans="1:8" x14ac:dyDescent="0.3">
      <c r="A467">
        <v>466</v>
      </c>
      <c r="B467" s="1">
        <v>45757</v>
      </c>
      <c r="C467" s="2" t="s">
        <v>8</v>
      </c>
      <c r="D467" s="2" t="s">
        <v>14</v>
      </c>
      <c r="E467" s="2" t="s">
        <v>16</v>
      </c>
      <c r="F467">
        <v>2569</v>
      </c>
      <c r="G467">
        <v>2395.59</v>
      </c>
      <c r="H467">
        <v>0.04</v>
      </c>
    </row>
    <row r="468" spans="1:8" x14ac:dyDescent="0.3">
      <c r="A468">
        <v>467</v>
      </c>
      <c r="B468" s="1">
        <v>45758</v>
      </c>
      <c r="C468" s="2" t="s">
        <v>11</v>
      </c>
      <c r="D468" s="2" t="s">
        <v>9</v>
      </c>
      <c r="E468" s="2" t="s">
        <v>19</v>
      </c>
      <c r="F468">
        <v>4006</v>
      </c>
      <c r="G468">
        <v>3252.14</v>
      </c>
      <c r="H468">
        <v>0.05</v>
      </c>
    </row>
    <row r="469" spans="1:8" x14ac:dyDescent="0.3">
      <c r="A469">
        <v>468</v>
      </c>
      <c r="B469" s="1">
        <v>45759</v>
      </c>
      <c r="C469" s="2" t="s">
        <v>17</v>
      </c>
      <c r="D469" s="2" t="s">
        <v>14</v>
      </c>
      <c r="E469" s="2" t="s">
        <v>13</v>
      </c>
      <c r="F469">
        <v>3453</v>
      </c>
      <c r="G469">
        <v>3474.21</v>
      </c>
      <c r="H469">
        <v>7.0000000000000007E-2</v>
      </c>
    </row>
    <row r="470" spans="1:8" x14ac:dyDescent="0.3">
      <c r="A470">
        <v>469</v>
      </c>
      <c r="B470" s="1">
        <v>45760</v>
      </c>
      <c r="C470" s="2" t="s">
        <v>11</v>
      </c>
      <c r="D470" s="2" t="s">
        <v>20</v>
      </c>
      <c r="E470" s="2" t="s">
        <v>13</v>
      </c>
      <c r="F470">
        <v>2737</v>
      </c>
      <c r="G470">
        <v>2571.44</v>
      </c>
      <c r="H470">
        <v>0.05</v>
      </c>
    </row>
    <row r="471" spans="1:8" x14ac:dyDescent="0.3">
      <c r="A471">
        <v>470</v>
      </c>
      <c r="B471" s="1">
        <v>45761</v>
      </c>
      <c r="C471" s="2" t="s">
        <v>8</v>
      </c>
      <c r="D471" s="2" t="s">
        <v>14</v>
      </c>
      <c r="E471" s="2" t="s">
        <v>13</v>
      </c>
      <c r="F471">
        <v>2515</v>
      </c>
      <c r="G471">
        <v>1523.25</v>
      </c>
      <c r="H471">
        <v>0.04</v>
      </c>
    </row>
    <row r="472" spans="1:8" x14ac:dyDescent="0.3">
      <c r="A472">
        <v>471</v>
      </c>
      <c r="B472" s="1">
        <v>45762</v>
      </c>
      <c r="C472" s="2" t="s">
        <v>8</v>
      </c>
      <c r="D472" s="2" t="s">
        <v>21</v>
      </c>
      <c r="E472" s="2" t="s">
        <v>10</v>
      </c>
      <c r="F472">
        <v>4000</v>
      </c>
      <c r="G472">
        <v>4563.3100000000004</v>
      </c>
      <c r="H472">
        <v>0.04</v>
      </c>
    </row>
    <row r="473" spans="1:8" x14ac:dyDescent="0.3">
      <c r="A473">
        <v>472</v>
      </c>
      <c r="B473" s="1">
        <v>45763</v>
      </c>
      <c r="C473" s="2" t="s">
        <v>17</v>
      </c>
      <c r="D473" s="2" t="s">
        <v>20</v>
      </c>
      <c r="E473" s="2" t="s">
        <v>10</v>
      </c>
      <c r="F473">
        <v>4444</v>
      </c>
      <c r="G473">
        <v>3182.07</v>
      </c>
      <c r="H473">
        <v>7.0000000000000007E-2</v>
      </c>
    </row>
    <row r="474" spans="1:8" x14ac:dyDescent="0.3">
      <c r="A474">
        <v>473</v>
      </c>
      <c r="B474" s="1">
        <v>45764</v>
      </c>
      <c r="C474" s="2" t="s">
        <v>8</v>
      </c>
      <c r="D474" s="2" t="s">
        <v>21</v>
      </c>
      <c r="E474" s="2" t="s">
        <v>16</v>
      </c>
      <c r="F474">
        <v>2038</v>
      </c>
      <c r="G474">
        <v>2281.7199999999998</v>
      </c>
      <c r="H474">
        <v>0.04</v>
      </c>
    </row>
    <row r="475" spans="1:8" x14ac:dyDescent="0.3">
      <c r="A475">
        <v>474</v>
      </c>
      <c r="B475" s="1">
        <v>45765</v>
      </c>
      <c r="C475" s="2" t="s">
        <v>11</v>
      </c>
      <c r="D475" s="2" t="s">
        <v>12</v>
      </c>
      <c r="E475" s="2" t="s">
        <v>19</v>
      </c>
      <c r="F475">
        <v>2886</v>
      </c>
      <c r="G475">
        <v>3319.48</v>
      </c>
      <c r="H475">
        <v>0.05</v>
      </c>
    </row>
    <row r="476" spans="1:8" x14ac:dyDescent="0.3">
      <c r="A476">
        <v>475</v>
      </c>
      <c r="B476" s="1">
        <v>45766</v>
      </c>
      <c r="C476" s="2" t="s">
        <v>17</v>
      </c>
      <c r="D476" s="2" t="s">
        <v>20</v>
      </c>
      <c r="E476" s="2" t="s">
        <v>16</v>
      </c>
      <c r="F476">
        <v>4844</v>
      </c>
      <c r="G476">
        <v>3158.41</v>
      </c>
      <c r="H476">
        <v>7.0000000000000007E-2</v>
      </c>
    </row>
    <row r="477" spans="1:8" x14ac:dyDescent="0.3">
      <c r="A477">
        <v>476</v>
      </c>
      <c r="B477" s="1">
        <v>45767</v>
      </c>
      <c r="C477" s="2" t="s">
        <v>11</v>
      </c>
      <c r="D477" s="2" t="s">
        <v>15</v>
      </c>
      <c r="E477" s="2" t="s">
        <v>19</v>
      </c>
      <c r="F477">
        <v>4204</v>
      </c>
      <c r="G477">
        <v>2359.91</v>
      </c>
      <c r="H477">
        <v>0.05</v>
      </c>
    </row>
    <row r="478" spans="1:8" x14ac:dyDescent="0.3">
      <c r="A478">
        <v>477</v>
      </c>
      <c r="B478" s="1">
        <v>45768</v>
      </c>
      <c r="C478" s="2" t="s">
        <v>11</v>
      </c>
      <c r="D478" s="2" t="s">
        <v>14</v>
      </c>
      <c r="E478" s="2" t="s">
        <v>10</v>
      </c>
      <c r="F478">
        <v>3098</v>
      </c>
      <c r="G478">
        <v>3967.8</v>
      </c>
      <c r="H478">
        <v>0.05</v>
      </c>
    </row>
    <row r="479" spans="1:8" x14ac:dyDescent="0.3">
      <c r="A479">
        <v>478</v>
      </c>
      <c r="B479" s="1">
        <v>45769</v>
      </c>
      <c r="C479" s="2" t="s">
        <v>17</v>
      </c>
      <c r="D479" s="2" t="s">
        <v>9</v>
      </c>
      <c r="E479" s="2" t="s">
        <v>10</v>
      </c>
      <c r="F479">
        <v>4931</v>
      </c>
      <c r="G479">
        <v>4732.78</v>
      </c>
      <c r="H479">
        <v>7.0000000000000007E-2</v>
      </c>
    </row>
    <row r="480" spans="1:8" x14ac:dyDescent="0.3">
      <c r="A480">
        <v>479</v>
      </c>
      <c r="B480" s="1">
        <v>45770</v>
      </c>
      <c r="C480" s="2" t="s">
        <v>11</v>
      </c>
      <c r="D480" s="2" t="s">
        <v>18</v>
      </c>
      <c r="E480" s="2" t="s">
        <v>10</v>
      </c>
      <c r="F480">
        <v>3823</v>
      </c>
      <c r="G480">
        <v>2133.86</v>
      </c>
      <c r="H480">
        <v>0.05</v>
      </c>
    </row>
    <row r="481" spans="1:8" x14ac:dyDescent="0.3">
      <c r="A481">
        <v>480</v>
      </c>
      <c r="B481" s="1">
        <v>45771</v>
      </c>
      <c r="C481" s="2" t="s">
        <v>8</v>
      </c>
      <c r="D481" s="2" t="s">
        <v>14</v>
      </c>
      <c r="E481" s="2" t="s">
        <v>16</v>
      </c>
      <c r="F481">
        <v>3710</v>
      </c>
      <c r="G481">
        <v>5545.95</v>
      </c>
      <c r="H481">
        <v>0.04</v>
      </c>
    </row>
    <row r="482" spans="1:8" x14ac:dyDescent="0.3">
      <c r="A482">
        <v>481</v>
      </c>
      <c r="B482" s="1">
        <v>45772</v>
      </c>
      <c r="C482" s="2" t="s">
        <v>11</v>
      </c>
      <c r="D482" s="2" t="s">
        <v>14</v>
      </c>
      <c r="E482" s="2" t="s">
        <v>13</v>
      </c>
      <c r="F482">
        <v>2973</v>
      </c>
      <c r="G482">
        <v>1658.28</v>
      </c>
      <c r="H482">
        <v>0.05</v>
      </c>
    </row>
    <row r="483" spans="1:8" x14ac:dyDescent="0.3">
      <c r="A483">
        <v>482</v>
      </c>
      <c r="B483" s="1">
        <v>45773</v>
      </c>
      <c r="C483" s="2" t="s">
        <v>17</v>
      </c>
      <c r="D483" s="2" t="s">
        <v>12</v>
      </c>
      <c r="E483" s="2" t="s">
        <v>13</v>
      </c>
      <c r="F483">
        <v>3562</v>
      </c>
      <c r="G483">
        <v>4256.72</v>
      </c>
      <c r="H483">
        <v>7.0000000000000007E-2</v>
      </c>
    </row>
    <row r="484" spans="1:8" x14ac:dyDescent="0.3">
      <c r="A484">
        <v>483</v>
      </c>
      <c r="B484" s="1">
        <v>45774</v>
      </c>
      <c r="C484" s="2" t="s">
        <v>17</v>
      </c>
      <c r="D484" s="2" t="s">
        <v>15</v>
      </c>
      <c r="E484" s="2" t="s">
        <v>10</v>
      </c>
      <c r="F484">
        <v>4896</v>
      </c>
      <c r="G484">
        <v>7264.09</v>
      </c>
      <c r="H484">
        <v>7.0000000000000007E-2</v>
      </c>
    </row>
    <row r="485" spans="1:8" x14ac:dyDescent="0.3">
      <c r="A485">
        <v>484</v>
      </c>
      <c r="B485" s="1">
        <v>45775</v>
      </c>
      <c r="C485" s="2" t="s">
        <v>17</v>
      </c>
      <c r="D485" s="2" t="s">
        <v>18</v>
      </c>
      <c r="E485" s="2" t="s">
        <v>13</v>
      </c>
      <c r="F485">
        <v>4795</v>
      </c>
      <c r="G485">
        <v>3544.37</v>
      </c>
      <c r="H485">
        <v>7.0000000000000007E-2</v>
      </c>
    </row>
    <row r="486" spans="1:8" x14ac:dyDescent="0.3">
      <c r="A486">
        <v>485</v>
      </c>
      <c r="B486" s="1">
        <v>45776</v>
      </c>
      <c r="C486" s="2" t="s">
        <v>11</v>
      </c>
      <c r="D486" s="2" t="s">
        <v>20</v>
      </c>
      <c r="E486" s="2" t="s">
        <v>13</v>
      </c>
      <c r="F486">
        <v>2988</v>
      </c>
      <c r="G486">
        <v>1919.04</v>
      </c>
      <c r="H486">
        <v>0.05</v>
      </c>
    </row>
    <row r="487" spans="1:8" x14ac:dyDescent="0.3">
      <c r="A487">
        <v>486</v>
      </c>
      <c r="B487" s="1">
        <v>45777</v>
      </c>
      <c r="C487" s="2" t="s">
        <v>17</v>
      </c>
      <c r="D487" s="2" t="s">
        <v>20</v>
      </c>
      <c r="E487" s="2" t="s">
        <v>16</v>
      </c>
      <c r="F487">
        <v>2020</v>
      </c>
      <c r="G487">
        <v>1255.2</v>
      </c>
      <c r="H487">
        <v>7.0000000000000007E-2</v>
      </c>
    </row>
    <row r="488" spans="1:8" x14ac:dyDescent="0.3">
      <c r="A488">
        <v>487</v>
      </c>
      <c r="B488" s="1">
        <v>45778</v>
      </c>
      <c r="C488" s="2" t="s">
        <v>17</v>
      </c>
      <c r="D488" s="2" t="s">
        <v>20</v>
      </c>
      <c r="E488" s="2" t="s">
        <v>19</v>
      </c>
      <c r="F488">
        <v>4350</v>
      </c>
      <c r="G488">
        <v>3494.25</v>
      </c>
      <c r="H488">
        <v>7.0000000000000007E-2</v>
      </c>
    </row>
    <row r="489" spans="1:8" x14ac:dyDescent="0.3">
      <c r="A489">
        <v>488</v>
      </c>
      <c r="B489" s="1">
        <v>45779</v>
      </c>
      <c r="C489" s="2" t="s">
        <v>11</v>
      </c>
      <c r="D489" s="2" t="s">
        <v>21</v>
      </c>
      <c r="E489" s="2" t="s">
        <v>10</v>
      </c>
      <c r="F489">
        <v>2868</v>
      </c>
      <c r="G489">
        <v>1723.8</v>
      </c>
      <c r="H489">
        <v>0.05</v>
      </c>
    </row>
    <row r="490" spans="1:8" x14ac:dyDescent="0.3">
      <c r="A490">
        <v>489</v>
      </c>
      <c r="B490" s="1">
        <v>45780</v>
      </c>
      <c r="C490" s="2" t="s">
        <v>8</v>
      </c>
      <c r="D490" s="2" t="s">
        <v>21</v>
      </c>
      <c r="E490" s="2" t="s">
        <v>10</v>
      </c>
      <c r="F490">
        <v>2083</v>
      </c>
      <c r="G490">
        <v>2483.27</v>
      </c>
      <c r="H490">
        <v>0.04</v>
      </c>
    </row>
    <row r="491" spans="1:8" x14ac:dyDescent="0.3">
      <c r="A491">
        <v>490</v>
      </c>
      <c r="B491" s="1">
        <v>45781</v>
      </c>
      <c r="C491" s="2" t="s">
        <v>11</v>
      </c>
      <c r="D491" s="2" t="s">
        <v>9</v>
      </c>
      <c r="E491" s="2" t="s">
        <v>16</v>
      </c>
      <c r="F491">
        <v>3682</v>
      </c>
      <c r="G491">
        <v>2070.36</v>
      </c>
      <c r="H491">
        <v>0.05</v>
      </c>
    </row>
    <row r="492" spans="1:8" x14ac:dyDescent="0.3">
      <c r="A492">
        <v>491</v>
      </c>
      <c r="B492" s="1">
        <v>45782</v>
      </c>
      <c r="C492" s="2" t="s">
        <v>17</v>
      </c>
      <c r="D492" s="2" t="s">
        <v>18</v>
      </c>
      <c r="E492" s="2" t="s">
        <v>16</v>
      </c>
      <c r="F492">
        <v>3976</v>
      </c>
      <c r="G492">
        <v>4013.46</v>
      </c>
      <c r="H492">
        <v>7.0000000000000007E-2</v>
      </c>
    </row>
    <row r="493" spans="1:8" x14ac:dyDescent="0.3">
      <c r="A493">
        <v>492</v>
      </c>
      <c r="B493" s="1">
        <v>45783</v>
      </c>
      <c r="C493" s="2" t="s">
        <v>17</v>
      </c>
      <c r="D493" s="2" t="s">
        <v>20</v>
      </c>
      <c r="E493" s="2" t="s">
        <v>13</v>
      </c>
      <c r="F493">
        <v>3410</v>
      </c>
      <c r="G493">
        <v>5103.74</v>
      </c>
      <c r="H493">
        <v>7.0000000000000007E-2</v>
      </c>
    </row>
    <row r="494" spans="1:8" x14ac:dyDescent="0.3">
      <c r="A494">
        <v>493</v>
      </c>
      <c r="B494" s="1">
        <v>45784</v>
      </c>
      <c r="C494" s="2" t="s">
        <v>11</v>
      </c>
      <c r="D494" s="2" t="s">
        <v>21</v>
      </c>
      <c r="E494" s="2" t="s">
        <v>10</v>
      </c>
      <c r="F494">
        <v>3530</v>
      </c>
      <c r="G494">
        <v>4638.32</v>
      </c>
      <c r="H494">
        <v>0.05</v>
      </c>
    </row>
    <row r="495" spans="1:8" x14ac:dyDescent="0.3">
      <c r="A495">
        <v>494</v>
      </c>
      <c r="B495" s="1">
        <v>45785</v>
      </c>
      <c r="C495" s="2" t="s">
        <v>8</v>
      </c>
      <c r="D495" s="2" t="s">
        <v>9</v>
      </c>
      <c r="E495" s="2" t="s">
        <v>19</v>
      </c>
      <c r="F495">
        <v>2569</v>
      </c>
      <c r="G495">
        <v>2865</v>
      </c>
      <c r="H495">
        <v>0.04</v>
      </c>
    </row>
    <row r="496" spans="1:8" x14ac:dyDescent="0.3">
      <c r="A496">
        <v>495</v>
      </c>
      <c r="B496" s="1">
        <v>45786</v>
      </c>
      <c r="C496" s="2" t="s">
        <v>17</v>
      </c>
      <c r="D496" s="2" t="s">
        <v>15</v>
      </c>
      <c r="E496" s="2" t="s">
        <v>16</v>
      </c>
      <c r="F496">
        <v>2933</v>
      </c>
      <c r="G496">
        <v>2364.7399999999998</v>
      </c>
      <c r="H496">
        <v>7.0000000000000007E-2</v>
      </c>
    </row>
    <row r="497" spans="1:8" x14ac:dyDescent="0.3">
      <c r="A497">
        <v>496</v>
      </c>
      <c r="B497" s="1">
        <v>45787</v>
      </c>
      <c r="C497" s="2" t="s">
        <v>17</v>
      </c>
      <c r="D497" s="2" t="s">
        <v>9</v>
      </c>
      <c r="E497" s="2" t="s">
        <v>19</v>
      </c>
      <c r="F497">
        <v>3980</v>
      </c>
      <c r="G497">
        <v>4473.1099999999997</v>
      </c>
      <c r="H497">
        <v>7.0000000000000007E-2</v>
      </c>
    </row>
    <row r="498" spans="1:8" x14ac:dyDescent="0.3">
      <c r="A498">
        <v>497</v>
      </c>
      <c r="B498" s="1">
        <v>45788</v>
      </c>
      <c r="C498" s="2" t="s">
        <v>17</v>
      </c>
      <c r="D498" s="2" t="s">
        <v>21</v>
      </c>
      <c r="E498" s="2" t="s">
        <v>19</v>
      </c>
      <c r="F498">
        <v>3855</v>
      </c>
      <c r="G498">
        <v>3959.24</v>
      </c>
      <c r="H498">
        <v>7.0000000000000007E-2</v>
      </c>
    </row>
    <row r="499" spans="1:8" x14ac:dyDescent="0.3">
      <c r="A499">
        <v>498</v>
      </c>
      <c r="B499" s="1">
        <v>45789</v>
      </c>
      <c r="C499" s="2" t="s">
        <v>11</v>
      </c>
      <c r="D499" s="2" t="s">
        <v>12</v>
      </c>
      <c r="E499" s="2" t="s">
        <v>10</v>
      </c>
      <c r="F499">
        <v>2792</v>
      </c>
      <c r="G499">
        <v>2585.62</v>
      </c>
      <c r="H499">
        <v>0.05</v>
      </c>
    </row>
    <row r="500" spans="1:8" x14ac:dyDescent="0.3">
      <c r="A500">
        <v>499</v>
      </c>
      <c r="B500" s="1">
        <v>45790</v>
      </c>
      <c r="C500" s="2" t="s">
        <v>17</v>
      </c>
      <c r="D500" s="2" t="s">
        <v>12</v>
      </c>
      <c r="E500" s="2" t="s">
        <v>10</v>
      </c>
      <c r="F500">
        <v>2791</v>
      </c>
      <c r="G500">
        <v>1760.31</v>
      </c>
      <c r="H500">
        <v>7.0000000000000007E-2</v>
      </c>
    </row>
    <row r="501" spans="1:8" x14ac:dyDescent="0.3">
      <c r="A501">
        <v>500</v>
      </c>
      <c r="B501" s="1">
        <v>45791</v>
      </c>
      <c r="C501" s="2" t="s">
        <v>8</v>
      </c>
      <c r="D501" s="2" t="s">
        <v>20</v>
      </c>
      <c r="E501" s="2" t="s">
        <v>16</v>
      </c>
      <c r="F501">
        <v>3809</v>
      </c>
      <c r="G501">
        <v>5281.58</v>
      </c>
      <c r="H501">
        <v>0.04</v>
      </c>
    </row>
    <row r="502" spans="1:8" x14ac:dyDescent="0.3">
      <c r="A502">
        <v>382</v>
      </c>
      <c r="B502" s="1">
        <v>45673</v>
      </c>
      <c r="C502" s="2" t="s">
        <v>8</v>
      </c>
      <c r="D502" s="2" t="s">
        <v>21</v>
      </c>
      <c r="E502" s="2" t="s">
        <v>19</v>
      </c>
      <c r="F502">
        <v>3193</v>
      </c>
      <c r="G502">
        <v>3709.75</v>
      </c>
      <c r="H502">
        <v>0.04</v>
      </c>
    </row>
    <row r="503" spans="1:8" x14ac:dyDescent="0.3">
      <c r="A503">
        <v>193</v>
      </c>
      <c r="B503" s="1">
        <v>45484</v>
      </c>
      <c r="C503" s="2" t="s">
        <v>11</v>
      </c>
      <c r="D503" s="2" t="s">
        <v>9</v>
      </c>
      <c r="E503" s="2" t="s">
        <v>10</v>
      </c>
      <c r="F503">
        <v>2628</v>
      </c>
      <c r="G503">
        <v>2993.61</v>
      </c>
      <c r="H503">
        <v>0.05</v>
      </c>
    </row>
    <row r="504" spans="1:8" x14ac:dyDescent="0.3">
      <c r="A504">
        <v>319</v>
      </c>
      <c r="B504" s="1">
        <v>45610</v>
      </c>
      <c r="C504" s="2" t="s">
        <v>17</v>
      </c>
      <c r="D504" s="2" t="s">
        <v>20</v>
      </c>
      <c r="E504" s="2" t="s">
        <v>10</v>
      </c>
      <c r="F504">
        <v>2780</v>
      </c>
      <c r="G504">
        <v>2024.06</v>
      </c>
      <c r="H504">
        <v>7.0000000000000007E-2</v>
      </c>
    </row>
    <row r="505" spans="1:8" x14ac:dyDescent="0.3">
      <c r="A505">
        <v>289</v>
      </c>
      <c r="B505" s="1">
        <v>45580</v>
      </c>
      <c r="C505" s="2" t="s">
        <v>17</v>
      </c>
      <c r="D505" s="2" t="s">
        <v>9</v>
      </c>
      <c r="E505" s="2" t="s">
        <v>16</v>
      </c>
      <c r="F505">
        <v>3594</v>
      </c>
      <c r="G505">
        <v>3543.22</v>
      </c>
      <c r="H505">
        <v>7.0000000000000007E-2</v>
      </c>
    </row>
    <row r="506" spans="1:8" x14ac:dyDescent="0.3">
      <c r="A506">
        <v>331</v>
      </c>
      <c r="B506" s="1">
        <v>45622</v>
      </c>
      <c r="C506" s="2" t="s">
        <v>11</v>
      </c>
      <c r="D506" s="2" t="s">
        <v>15</v>
      </c>
      <c r="E506" s="2" t="s">
        <v>10</v>
      </c>
      <c r="F506">
        <v>3218</v>
      </c>
      <c r="G506">
        <v>3757.18</v>
      </c>
      <c r="H506">
        <v>0.05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5452-2969-484D-A3B0-7800B8678B0F}">
  <dimension ref="A1:K486"/>
  <sheetViews>
    <sheetView zoomScale="99" zoomScaleNormal="99" workbookViewId="0">
      <selection sqref="A1:K486"/>
    </sheetView>
  </sheetViews>
  <sheetFormatPr defaultRowHeight="14.4" x14ac:dyDescent="0.3"/>
  <cols>
    <col min="1" max="1" width="17.5546875" customWidth="1"/>
    <col min="2" max="2" width="15.33203125" style="1" bestFit="1" customWidth="1"/>
    <col min="3" max="3" width="6.33203125" bestFit="1" customWidth="1"/>
    <col min="4" max="4" width="9" bestFit="1" customWidth="1"/>
    <col min="5" max="5" width="12.21875" bestFit="1" customWidth="1"/>
    <col min="6" max="6" width="11.21875" bestFit="1" customWidth="1"/>
    <col min="7" max="7" width="8.77734375" bestFit="1" customWidth="1"/>
    <col min="8" max="8" width="10.5546875" style="4" bestFit="1" customWidth="1"/>
    <col min="9" max="9" width="19.44140625" style="4" bestFit="1" customWidth="1"/>
    <col min="10" max="10" width="23.21875" style="3" bestFit="1" customWidth="1"/>
    <col min="11" max="11" width="17.44140625" style="4" bestFit="1" customWidth="1"/>
  </cols>
  <sheetData>
    <row r="1" spans="1:11" x14ac:dyDescent="0.3">
      <c r="A1" t="s">
        <v>22</v>
      </c>
      <c r="B1" s="1" t="s">
        <v>1</v>
      </c>
      <c r="C1" t="s">
        <v>28</v>
      </c>
      <c r="D1" t="s">
        <v>29</v>
      </c>
      <c r="E1" t="s">
        <v>2</v>
      </c>
      <c r="F1" t="s">
        <v>3</v>
      </c>
      <c r="G1" t="s">
        <v>23</v>
      </c>
      <c r="H1" s="4" t="s">
        <v>5</v>
      </c>
      <c r="I1" s="4" t="s">
        <v>6</v>
      </c>
      <c r="J1" s="3" t="s">
        <v>24</v>
      </c>
      <c r="K1" s="4" t="s">
        <v>26</v>
      </c>
    </row>
    <row r="2" spans="1:11" x14ac:dyDescent="0.3">
      <c r="A2">
        <v>1</v>
      </c>
      <c r="B2" s="1">
        <v>45292</v>
      </c>
      <c r="C2">
        <v>2024</v>
      </c>
      <c r="D2" s="2" t="s">
        <v>30</v>
      </c>
      <c r="E2" s="2" t="s">
        <v>8</v>
      </c>
      <c r="F2" s="2" t="s">
        <v>9</v>
      </c>
      <c r="G2" s="2" t="s">
        <v>10</v>
      </c>
      <c r="H2" s="4">
        <v>4006</v>
      </c>
      <c r="I2" s="4">
        <v>5465.62</v>
      </c>
      <c r="J2" s="3">
        <v>0.04</v>
      </c>
      <c r="K2" s="4">
        <v>218.62479999999999</v>
      </c>
    </row>
    <row r="3" spans="1:11" x14ac:dyDescent="0.3">
      <c r="A3">
        <v>2</v>
      </c>
      <c r="B3" s="1">
        <v>45293</v>
      </c>
      <c r="C3">
        <v>2024</v>
      </c>
      <c r="D3" s="2" t="s">
        <v>30</v>
      </c>
      <c r="E3" s="2" t="s">
        <v>11</v>
      </c>
      <c r="F3" s="2" t="s">
        <v>9</v>
      </c>
      <c r="G3" s="2" t="s">
        <v>10</v>
      </c>
      <c r="H3" s="4">
        <v>4490</v>
      </c>
      <c r="I3" s="4">
        <v>4369.71</v>
      </c>
      <c r="J3" s="3">
        <v>0.05</v>
      </c>
      <c r="K3" s="4">
        <v>218.4855</v>
      </c>
    </row>
    <row r="4" spans="1:11" x14ac:dyDescent="0.3">
      <c r="A4">
        <v>3</v>
      </c>
      <c r="B4" s="1">
        <v>45294</v>
      </c>
      <c r="C4">
        <v>2024</v>
      </c>
      <c r="D4" s="2" t="s">
        <v>30</v>
      </c>
      <c r="E4" s="2" t="s">
        <v>8</v>
      </c>
      <c r="F4" s="2" t="s">
        <v>12</v>
      </c>
      <c r="G4" s="2" t="s">
        <v>10</v>
      </c>
      <c r="H4" s="4">
        <v>3790</v>
      </c>
      <c r="I4" s="4">
        <v>5564.45</v>
      </c>
      <c r="J4" s="3">
        <v>0.04</v>
      </c>
      <c r="K4" s="4">
        <v>222.578</v>
      </c>
    </row>
    <row r="5" spans="1:11" x14ac:dyDescent="0.3">
      <c r="A5">
        <v>4</v>
      </c>
      <c r="B5" s="1">
        <v>45295</v>
      </c>
      <c r="C5">
        <v>2024</v>
      </c>
      <c r="D5" s="2" t="s">
        <v>30</v>
      </c>
      <c r="E5" s="2" t="s">
        <v>8</v>
      </c>
      <c r="F5" s="2" t="s">
        <v>9</v>
      </c>
      <c r="G5" s="2" t="s">
        <v>13</v>
      </c>
      <c r="H5" s="4">
        <v>2327</v>
      </c>
      <c r="I5" s="4">
        <v>1595.22</v>
      </c>
      <c r="J5" s="3">
        <v>0.04</v>
      </c>
      <c r="K5" s="4">
        <v>63.808799999999998</v>
      </c>
    </row>
    <row r="6" spans="1:11" x14ac:dyDescent="0.3">
      <c r="A6">
        <v>5</v>
      </c>
      <c r="B6" s="1">
        <v>45296</v>
      </c>
      <c r="C6">
        <v>2024</v>
      </c>
      <c r="D6" s="2" t="s">
        <v>30</v>
      </c>
      <c r="E6" s="2" t="s">
        <v>11</v>
      </c>
      <c r="F6" s="2" t="s">
        <v>14</v>
      </c>
      <c r="G6" s="2" t="s">
        <v>10</v>
      </c>
      <c r="H6" s="4">
        <v>4808</v>
      </c>
      <c r="I6" s="4">
        <v>6580.34</v>
      </c>
      <c r="J6" s="3">
        <v>0.05</v>
      </c>
      <c r="K6" s="4">
        <v>329.017</v>
      </c>
    </row>
    <row r="7" spans="1:11" x14ac:dyDescent="0.3">
      <c r="A7">
        <v>6</v>
      </c>
      <c r="B7" s="1">
        <v>45297</v>
      </c>
      <c r="C7">
        <v>2024</v>
      </c>
      <c r="D7" s="2" t="s">
        <v>30</v>
      </c>
      <c r="E7" s="2" t="s">
        <v>11</v>
      </c>
      <c r="F7" s="2" t="s">
        <v>15</v>
      </c>
      <c r="G7" s="2" t="s">
        <v>10</v>
      </c>
      <c r="H7" s="4">
        <v>4626</v>
      </c>
      <c r="I7" s="4">
        <v>5905.54</v>
      </c>
      <c r="J7" s="3">
        <v>0.05</v>
      </c>
      <c r="K7" s="4">
        <v>295.27699999999999</v>
      </c>
    </row>
    <row r="8" spans="1:11" x14ac:dyDescent="0.3">
      <c r="A8">
        <v>7</v>
      </c>
      <c r="B8" s="1">
        <v>45298</v>
      </c>
      <c r="C8">
        <v>2024</v>
      </c>
      <c r="D8" s="2" t="s">
        <v>30</v>
      </c>
      <c r="E8" s="2" t="s">
        <v>8</v>
      </c>
      <c r="F8" s="2" t="s">
        <v>15</v>
      </c>
      <c r="G8" s="2" t="s">
        <v>16</v>
      </c>
      <c r="H8" s="4">
        <v>3287</v>
      </c>
      <c r="I8" s="4">
        <v>4177.5200000000004</v>
      </c>
      <c r="J8" s="3">
        <v>0.04</v>
      </c>
      <c r="K8" s="4">
        <v>167.10079999999999</v>
      </c>
    </row>
    <row r="9" spans="1:11" x14ac:dyDescent="0.3">
      <c r="A9">
        <v>8</v>
      </c>
      <c r="B9" s="1">
        <v>45299</v>
      </c>
      <c r="C9">
        <v>2024</v>
      </c>
      <c r="D9" s="2" t="s">
        <v>30</v>
      </c>
      <c r="E9" s="2" t="s">
        <v>17</v>
      </c>
      <c r="F9" s="2" t="s">
        <v>18</v>
      </c>
      <c r="G9" s="2" t="s">
        <v>19</v>
      </c>
      <c r="H9" s="4">
        <v>4143</v>
      </c>
      <c r="I9" s="4">
        <v>5571.44</v>
      </c>
      <c r="J9" s="3">
        <v>7.0000000000000007E-2</v>
      </c>
      <c r="K9" s="4">
        <v>390.00080000000003</v>
      </c>
    </row>
    <row r="10" spans="1:11" x14ac:dyDescent="0.3">
      <c r="A10">
        <v>9</v>
      </c>
      <c r="B10" s="1">
        <v>45301</v>
      </c>
      <c r="C10">
        <v>2024</v>
      </c>
      <c r="D10" s="2" t="s">
        <v>30</v>
      </c>
      <c r="E10" s="2" t="s">
        <v>8</v>
      </c>
      <c r="F10" s="2" t="s">
        <v>9</v>
      </c>
      <c r="G10" s="2" t="s">
        <v>13</v>
      </c>
      <c r="H10" s="4">
        <v>3311</v>
      </c>
      <c r="I10" s="4">
        <v>3728.92</v>
      </c>
      <c r="J10" s="3">
        <v>0.04</v>
      </c>
      <c r="K10" s="4">
        <v>149.1568</v>
      </c>
    </row>
    <row r="11" spans="1:11" x14ac:dyDescent="0.3">
      <c r="A11">
        <v>10</v>
      </c>
      <c r="B11" s="1">
        <v>45302</v>
      </c>
      <c r="C11">
        <v>2024</v>
      </c>
      <c r="D11" s="2" t="s">
        <v>30</v>
      </c>
      <c r="E11" s="2" t="s">
        <v>8</v>
      </c>
      <c r="F11" s="2" t="s">
        <v>14</v>
      </c>
      <c r="G11" s="2" t="s">
        <v>13</v>
      </c>
      <c r="H11" s="4">
        <v>4861</v>
      </c>
      <c r="I11" s="4">
        <v>3068.48</v>
      </c>
      <c r="J11" s="3">
        <v>0.04</v>
      </c>
      <c r="K11" s="4">
        <v>122.7392</v>
      </c>
    </row>
    <row r="12" spans="1:11" x14ac:dyDescent="0.3">
      <c r="A12">
        <v>11</v>
      </c>
      <c r="B12" s="1">
        <v>45303</v>
      </c>
      <c r="C12">
        <v>2024</v>
      </c>
      <c r="D12" s="2" t="s">
        <v>30</v>
      </c>
      <c r="E12" s="2" t="s">
        <v>8</v>
      </c>
      <c r="F12" s="2" t="s">
        <v>18</v>
      </c>
      <c r="G12" s="2" t="s">
        <v>10</v>
      </c>
      <c r="H12" s="4">
        <v>4538</v>
      </c>
      <c r="I12" s="4">
        <v>2416.6</v>
      </c>
      <c r="J12" s="3">
        <v>0.04</v>
      </c>
      <c r="K12" s="4">
        <v>96.664000000000001</v>
      </c>
    </row>
    <row r="13" spans="1:11" x14ac:dyDescent="0.3">
      <c r="A13">
        <v>12</v>
      </c>
      <c r="B13" s="1">
        <v>45304</v>
      </c>
      <c r="C13">
        <v>2024</v>
      </c>
      <c r="D13" s="2" t="s">
        <v>30</v>
      </c>
      <c r="E13" s="2" t="s">
        <v>11</v>
      </c>
      <c r="F13" s="2" t="s">
        <v>12</v>
      </c>
      <c r="G13" s="2" t="s">
        <v>10</v>
      </c>
      <c r="H13" s="4">
        <v>2451</v>
      </c>
      <c r="I13" s="4">
        <v>3482.5</v>
      </c>
      <c r="J13" s="3">
        <v>0.05</v>
      </c>
      <c r="K13" s="4">
        <v>174.125</v>
      </c>
    </row>
    <row r="14" spans="1:11" x14ac:dyDescent="0.3">
      <c r="A14">
        <v>13</v>
      </c>
      <c r="B14" s="1">
        <v>45305</v>
      </c>
      <c r="C14">
        <v>2024</v>
      </c>
      <c r="D14" s="2" t="s">
        <v>30</v>
      </c>
      <c r="E14" s="2" t="s">
        <v>8</v>
      </c>
      <c r="F14" s="2" t="s">
        <v>18</v>
      </c>
      <c r="G14" s="2" t="s">
        <v>10</v>
      </c>
      <c r="H14" s="4">
        <v>3523</v>
      </c>
      <c r="I14" s="4">
        <v>3933.96</v>
      </c>
      <c r="J14" s="3">
        <v>0.04</v>
      </c>
      <c r="K14" s="4">
        <v>157.35839999999999</v>
      </c>
    </row>
    <row r="15" spans="1:11" x14ac:dyDescent="0.3">
      <c r="A15">
        <v>14</v>
      </c>
      <c r="B15" s="1">
        <v>45306</v>
      </c>
      <c r="C15">
        <v>2024</v>
      </c>
      <c r="D15" s="2" t="s">
        <v>30</v>
      </c>
      <c r="E15" s="2" t="s">
        <v>17</v>
      </c>
      <c r="F15" s="2" t="s">
        <v>18</v>
      </c>
      <c r="G15" s="2" t="s">
        <v>16</v>
      </c>
      <c r="H15" s="4">
        <v>2164</v>
      </c>
      <c r="I15" s="4">
        <v>2805.71</v>
      </c>
      <c r="J15" s="3">
        <v>7.0000000000000007E-2</v>
      </c>
      <c r="K15" s="4">
        <v>196.3997</v>
      </c>
    </row>
    <row r="16" spans="1:11" x14ac:dyDescent="0.3">
      <c r="A16">
        <v>15</v>
      </c>
      <c r="B16" s="1">
        <v>45307</v>
      </c>
      <c r="C16">
        <v>2024</v>
      </c>
      <c r="D16" s="2" t="s">
        <v>30</v>
      </c>
      <c r="E16" s="2" t="s">
        <v>11</v>
      </c>
      <c r="F16" s="2" t="s">
        <v>9</v>
      </c>
      <c r="G16" s="2" t="s">
        <v>19</v>
      </c>
      <c r="H16" s="4">
        <v>2181</v>
      </c>
      <c r="I16" s="4">
        <v>2140.6999999999998</v>
      </c>
      <c r="J16" s="3">
        <v>0.05</v>
      </c>
      <c r="K16" s="4">
        <v>107.035</v>
      </c>
    </row>
    <row r="17" spans="1:11" x14ac:dyDescent="0.3">
      <c r="A17">
        <v>16</v>
      </c>
      <c r="B17" s="1">
        <v>45308</v>
      </c>
      <c r="C17">
        <v>2024</v>
      </c>
      <c r="D17" s="2" t="s">
        <v>30</v>
      </c>
      <c r="E17" s="2" t="s">
        <v>17</v>
      </c>
      <c r="F17" s="2" t="s">
        <v>12</v>
      </c>
      <c r="G17" s="2" t="s">
        <v>10</v>
      </c>
      <c r="H17" s="4">
        <v>4516</v>
      </c>
      <c r="I17" s="4">
        <v>2787.76</v>
      </c>
      <c r="J17" s="3">
        <v>7.0000000000000007E-2</v>
      </c>
      <c r="K17" s="4">
        <v>195.14320000000001</v>
      </c>
    </row>
    <row r="18" spans="1:11" x14ac:dyDescent="0.3">
      <c r="A18">
        <v>17</v>
      </c>
      <c r="B18" s="1">
        <v>45309</v>
      </c>
      <c r="C18">
        <v>2024</v>
      </c>
      <c r="D18" s="2" t="s">
        <v>30</v>
      </c>
      <c r="E18" s="2" t="s">
        <v>17</v>
      </c>
      <c r="F18" s="2" t="s">
        <v>18</v>
      </c>
      <c r="G18" s="2" t="s">
        <v>19</v>
      </c>
      <c r="H18" s="4">
        <v>2909</v>
      </c>
      <c r="I18" s="4">
        <v>1818.67</v>
      </c>
      <c r="J18" s="3">
        <v>7.0000000000000007E-2</v>
      </c>
      <c r="K18" s="4">
        <v>127.3069</v>
      </c>
    </row>
    <row r="19" spans="1:11" x14ac:dyDescent="0.3">
      <c r="A19">
        <v>18</v>
      </c>
      <c r="B19" s="1">
        <v>45310</v>
      </c>
      <c r="C19">
        <v>2024</v>
      </c>
      <c r="D19" s="2" t="s">
        <v>30</v>
      </c>
      <c r="E19" s="2" t="s">
        <v>17</v>
      </c>
      <c r="F19" s="2" t="s">
        <v>14</v>
      </c>
      <c r="G19" s="2" t="s">
        <v>16</v>
      </c>
      <c r="H19" s="4">
        <v>4782</v>
      </c>
      <c r="I19" s="4">
        <v>5669.37</v>
      </c>
      <c r="J19" s="3">
        <v>7.0000000000000007E-2</v>
      </c>
      <c r="K19" s="4">
        <v>396.85590000000002</v>
      </c>
    </row>
    <row r="20" spans="1:11" x14ac:dyDescent="0.3">
      <c r="A20">
        <v>19</v>
      </c>
      <c r="B20" s="1">
        <v>45311</v>
      </c>
      <c r="C20">
        <v>2024</v>
      </c>
      <c r="D20" s="2" t="s">
        <v>30</v>
      </c>
      <c r="E20" s="2" t="s">
        <v>17</v>
      </c>
      <c r="F20" s="2" t="s">
        <v>14</v>
      </c>
      <c r="G20" s="2" t="s">
        <v>13</v>
      </c>
      <c r="H20" s="4">
        <v>2822</v>
      </c>
      <c r="I20" s="4">
        <v>2625.32</v>
      </c>
      <c r="J20" s="3">
        <v>7.0000000000000007E-2</v>
      </c>
      <c r="K20" s="4">
        <v>183.7724</v>
      </c>
    </row>
    <row r="21" spans="1:11" x14ac:dyDescent="0.3">
      <c r="A21">
        <v>20</v>
      </c>
      <c r="B21" s="1">
        <v>45312</v>
      </c>
      <c r="C21">
        <v>2024</v>
      </c>
      <c r="D21" s="2" t="s">
        <v>30</v>
      </c>
      <c r="E21" s="2" t="s">
        <v>11</v>
      </c>
      <c r="F21" s="2" t="s">
        <v>15</v>
      </c>
      <c r="G21" s="2" t="s">
        <v>10</v>
      </c>
      <c r="H21" s="4">
        <v>2943</v>
      </c>
      <c r="I21" s="4">
        <v>2061.64</v>
      </c>
      <c r="J21" s="3">
        <v>0.05</v>
      </c>
      <c r="K21" s="4">
        <v>103.08199999999999</v>
      </c>
    </row>
    <row r="22" spans="1:11" x14ac:dyDescent="0.3">
      <c r="A22">
        <v>21</v>
      </c>
      <c r="B22" s="1">
        <v>45313</v>
      </c>
      <c r="C22">
        <v>2024</v>
      </c>
      <c r="D22" s="2" t="s">
        <v>30</v>
      </c>
      <c r="E22" s="2" t="s">
        <v>11</v>
      </c>
      <c r="F22" s="2" t="s">
        <v>12</v>
      </c>
      <c r="G22" s="2" t="s">
        <v>19</v>
      </c>
      <c r="H22" s="4">
        <v>4001</v>
      </c>
      <c r="I22" s="4">
        <v>3967.37</v>
      </c>
      <c r="J22" s="3">
        <v>0.05</v>
      </c>
      <c r="K22" s="4">
        <v>198.36850000000001</v>
      </c>
    </row>
    <row r="23" spans="1:11" x14ac:dyDescent="0.3">
      <c r="A23">
        <v>22</v>
      </c>
      <c r="B23" s="1">
        <v>45314</v>
      </c>
      <c r="C23">
        <v>2024</v>
      </c>
      <c r="D23" s="2" t="s">
        <v>30</v>
      </c>
      <c r="E23" s="2" t="s">
        <v>17</v>
      </c>
      <c r="F23" s="2" t="s">
        <v>12</v>
      </c>
      <c r="G23" s="2" t="s">
        <v>19</v>
      </c>
      <c r="H23" s="4">
        <v>4054</v>
      </c>
      <c r="I23" s="4">
        <v>2287.3000000000002</v>
      </c>
      <c r="J23" s="3">
        <v>7.0000000000000007E-2</v>
      </c>
      <c r="K23" s="4">
        <v>160.11099999999999</v>
      </c>
    </row>
    <row r="24" spans="1:11" x14ac:dyDescent="0.3">
      <c r="A24">
        <v>23</v>
      </c>
      <c r="B24" s="1">
        <v>45315</v>
      </c>
      <c r="C24">
        <v>2024</v>
      </c>
      <c r="D24" s="2" t="s">
        <v>30</v>
      </c>
      <c r="E24" s="2" t="s">
        <v>17</v>
      </c>
      <c r="F24" s="2" t="s">
        <v>15</v>
      </c>
      <c r="G24" s="2" t="s">
        <v>10</v>
      </c>
      <c r="H24" s="4">
        <v>2329</v>
      </c>
      <c r="I24" s="4">
        <v>2519.91</v>
      </c>
      <c r="J24" s="3">
        <v>7.0000000000000007E-2</v>
      </c>
      <c r="K24" s="4">
        <v>176.3937</v>
      </c>
    </row>
    <row r="25" spans="1:11" x14ac:dyDescent="0.3">
      <c r="A25">
        <v>24</v>
      </c>
      <c r="B25" s="1">
        <v>45316</v>
      </c>
      <c r="C25">
        <v>2024</v>
      </c>
      <c r="D25" s="2" t="s">
        <v>30</v>
      </c>
      <c r="E25" s="2" t="s">
        <v>11</v>
      </c>
      <c r="F25" s="2" t="s">
        <v>18</v>
      </c>
      <c r="G25" s="2" t="s">
        <v>13</v>
      </c>
      <c r="H25" s="4">
        <v>2774</v>
      </c>
      <c r="I25" s="4">
        <v>2133.19</v>
      </c>
      <c r="J25" s="3">
        <v>0.05</v>
      </c>
      <c r="K25" s="4">
        <v>106.65949999999999</v>
      </c>
    </row>
    <row r="26" spans="1:11" x14ac:dyDescent="0.3">
      <c r="A26">
        <v>25</v>
      </c>
      <c r="B26" s="1">
        <v>45317</v>
      </c>
      <c r="C26">
        <v>2024</v>
      </c>
      <c r="D26" s="2" t="s">
        <v>30</v>
      </c>
      <c r="E26" s="2" t="s">
        <v>11</v>
      </c>
      <c r="F26" s="2" t="s">
        <v>12</v>
      </c>
      <c r="G26" s="2" t="s">
        <v>13</v>
      </c>
      <c r="H26" s="4">
        <v>4198</v>
      </c>
      <c r="I26" s="4">
        <v>5447.15</v>
      </c>
      <c r="J26" s="3">
        <v>0.05</v>
      </c>
      <c r="K26" s="4">
        <v>272.35750000000002</v>
      </c>
    </row>
    <row r="27" spans="1:11" x14ac:dyDescent="0.3">
      <c r="A27">
        <v>26</v>
      </c>
      <c r="B27" s="1">
        <v>45318</v>
      </c>
      <c r="C27">
        <v>2024</v>
      </c>
      <c r="D27" s="2" t="s">
        <v>30</v>
      </c>
      <c r="E27" s="2" t="s">
        <v>11</v>
      </c>
      <c r="F27" s="2" t="s">
        <v>14</v>
      </c>
      <c r="G27" s="2" t="s">
        <v>13</v>
      </c>
      <c r="H27" s="4">
        <v>2146</v>
      </c>
      <c r="I27" s="4">
        <v>1739.04</v>
      </c>
      <c r="J27" s="3">
        <v>0.05</v>
      </c>
      <c r="K27" s="4">
        <v>86.951999999999998</v>
      </c>
    </row>
    <row r="28" spans="1:11" x14ac:dyDescent="0.3">
      <c r="A28">
        <v>27</v>
      </c>
      <c r="B28" s="1">
        <v>45319</v>
      </c>
      <c r="C28">
        <v>2024</v>
      </c>
      <c r="D28" s="2" t="s">
        <v>30</v>
      </c>
      <c r="E28" s="2" t="s">
        <v>8</v>
      </c>
      <c r="F28" s="2" t="s">
        <v>14</v>
      </c>
      <c r="G28" s="2" t="s">
        <v>16</v>
      </c>
      <c r="H28" s="4">
        <v>2914</v>
      </c>
      <c r="I28" s="4">
        <v>2783.51</v>
      </c>
      <c r="J28" s="3">
        <v>0.04</v>
      </c>
      <c r="K28" s="4">
        <v>111.3404</v>
      </c>
    </row>
    <row r="29" spans="1:11" x14ac:dyDescent="0.3">
      <c r="A29">
        <v>28</v>
      </c>
      <c r="B29" s="1">
        <v>45320</v>
      </c>
      <c r="C29">
        <v>2024</v>
      </c>
      <c r="D29" s="2" t="s">
        <v>30</v>
      </c>
      <c r="E29" s="2" t="s">
        <v>8</v>
      </c>
      <c r="F29" s="2" t="s">
        <v>9</v>
      </c>
      <c r="G29" s="2" t="s">
        <v>19</v>
      </c>
      <c r="H29" s="4">
        <v>3571</v>
      </c>
      <c r="I29" s="4">
        <v>1827</v>
      </c>
      <c r="J29" s="3">
        <v>0.04</v>
      </c>
      <c r="K29" s="4">
        <v>73.08</v>
      </c>
    </row>
    <row r="30" spans="1:11" x14ac:dyDescent="0.3">
      <c r="A30">
        <v>29</v>
      </c>
      <c r="B30" s="1">
        <v>45321</v>
      </c>
      <c r="C30">
        <v>2024</v>
      </c>
      <c r="D30" s="2" t="s">
        <v>30</v>
      </c>
      <c r="E30" s="2" t="s">
        <v>8</v>
      </c>
      <c r="F30" s="2" t="s">
        <v>12</v>
      </c>
      <c r="G30" s="2" t="s">
        <v>19</v>
      </c>
      <c r="H30" s="4">
        <v>3308</v>
      </c>
      <c r="I30" s="4">
        <v>1893.65</v>
      </c>
      <c r="J30" s="3">
        <v>0.04</v>
      </c>
      <c r="K30" s="4">
        <v>75.745999999999995</v>
      </c>
    </row>
    <row r="31" spans="1:11" x14ac:dyDescent="0.3">
      <c r="A31">
        <v>30</v>
      </c>
      <c r="B31" s="1">
        <v>45322</v>
      </c>
      <c r="C31">
        <v>2024</v>
      </c>
      <c r="D31" s="2" t="s">
        <v>30</v>
      </c>
      <c r="E31" s="2" t="s">
        <v>17</v>
      </c>
      <c r="F31" s="2" t="s">
        <v>18</v>
      </c>
      <c r="G31" s="2" t="s">
        <v>19</v>
      </c>
      <c r="H31" s="4">
        <v>4747</v>
      </c>
      <c r="I31" s="4">
        <v>4236.67</v>
      </c>
      <c r="J31" s="3">
        <v>7.0000000000000007E-2</v>
      </c>
      <c r="K31" s="4">
        <v>296.56689999999998</v>
      </c>
    </row>
    <row r="32" spans="1:11" x14ac:dyDescent="0.3">
      <c r="A32">
        <v>31</v>
      </c>
      <c r="B32" s="1">
        <v>45323</v>
      </c>
      <c r="C32">
        <v>2024</v>
      </c>
      <c r="D32" s="2" t="s">
        <v>31</v>
      </c>
      <c r="E32" s="2" t="s">
        <v>8</v>
      </c>
      <c r="F32" s="2" t="s">
        <v>15</v>
      </c>
      <c r="G32" s="2" t="s">
        <v>16</v>
      </c>
      <c r="H32" s="4">
        <v>2081</v>
      </c>
      <c r="I32" s="4">
        <v>2039.25</v>
      </c>
      <c r="J32" s="3">
        <v>0.04</v>
      </c>
      <c r="K32" s="4">
        <v>81.569999999999993</v>
      </c>
    </row>
    <row r="33" spans="1:11" x14ac:dyDescent="0.3">
      <c r="A33">
        <v>32</v>
      </c>
      <c r="B33" s="1">
        <v>45324</v>
      </c>
      <c r="C33">
        <v>2024</v>
      </c>
      <c r="D33" s="2" t="s">
        <v>31</v>
      </c>
      <c r="E33" s="2" t="s">
        <v>17</v>
      </c>
      <c r="F33" s="2" t="s">
        <v>15</v>
      </c>
      <c r="G33" s="2" t="s">
        <v>19</v>
      </c>
      <c r="H33" s="4">
        <v>2513</v>
      </c>
      <c r="I33" s="4">
        <v>2764.35</v>
      </c>
      <c r="J33" s="3">
        <v>7.0000000000000007E-2</v>
      </c>
      <c r="K33" s="4">
        <v>193.50450000000001</v>
      </c>
    </row>
    <row r="34" spans="1:11" x14ac:dyDescent="0.3">
      <c r="A34">
        <v>33</v>
      </c>
      <c r="B34" s="1">
        <v>45325</v>
      </c>
      <c r="C34">
        <v>2024</v>
      </c>
      <c r="D34" s="2" t="s">
        <v>31</v>
      </c>
      <c r="E34" s="2" t="s">
        <v>17</v>
      </c>
      <c r="F34" s="2" t="s">
        <v>18</v>
      </c>
      <c r="G34" s="2" t="s">
        <v>16</v>
      </c>
      <c r="H34" s="4">
        <v>3920</v>
      </c>
      <c r="I34" s="4">
        <v>3103.32</v>
      </c>
      <c r="J34" s="3">
        <v>7.0000000000000007E-2</v>
      </c>
      <c r="K34" s="4">
        <v>217.23240000000001</v>
      </c>
    </row>
    <row r="35" spans="1:11" x14ac:dyDescent="0.3">
      <c r="A35">
        <v>34</v>
      </c>
      <c r="B35" s="1">
        <v>45326</v>
      </c>
      <c r="C35">
        <v>2024</v>
      </c>
      <c r="D35" s="2" t="s">
        <v>31</v>
      </c>
      <c r="E35" s="2" t="s">
        <v>8</v>
      </c>
      <c r="F35" s="2" t="s">
        <v>20</v>
      </c>
      <c r="G35" s="2" t="s">
        <v>13</v>
      </c>
      <c r="H35" s="4">
        <v>4862</v>
      </c>
      <c r="I35" s="4">
        <v>5810</v>
      </c>
      <c r="J35" s="3">
        <v>0.04</v>
      </c>
      <c r="K35" s="4">
        <v>232.4</v>
      </c>
    </row>
    <row r="36" spans="1:11" x14ac:dyDescent="0.3">
      <c r="A36">
        <v>35</v>
      </c>
      <c r="B36" s="1">
        <v>45327</v>
      </c>
      <c r="C36">
        <v>2024</v>
      </c>
      <c r="D36" s="2" t="s">
        <v>31</v>
      </c>
      <c r="E36" s="2" t="s">
        <v>17</v>
      </c>
      <c r="F36" s="2" t="s">
        <v>21</v>
      </c>
      <c r="G36" s="2" t="s">
        <v>10</v>
      </c>
      <c r="H36" s="4">
        <v>4756</v>
      </c>
      <c r="I36" s="4">
        <v>6468.74</v>
      </c>
      <c r="J36" s="3">
        <v>7.0000000000000007E-2</v>
      </c>
      <c r="K36" s="4">
        <v>452.81180000000001</v>
      </c>
    </row>
    <row r="37" spans="1:11" x14ac:dyDescent="0.3">
      <c r="A37">
        <v>36</v>
      </c>
      <c r="B37" s="1">
        <v>45328</v>
      </c>
      <c r="C37">
        <v>2024</v>
      </c>
      <c r="D37" s="2" t="s">
        <v>31</v>
      </c>
      <c r="E37" s="2" t="s">
        <v>8</v>
      </c>
      <c r="F37" s="2" t="s">
        <v>9</v>
      </c>
      <c r="G37" s="2" t="s">
        <v>19</v>
      </c>
      <c r="H37" s="4">
        <v>3939</v>
      </c>
      <c r="I37" s="4">
        <v>5041.33</v>
      </c>
      <c r="J37" s="3">
        <v>0.04</v>
      </c>
      <c r="K37" s="4">
        <v>201.6532</v>
      </c>
    </row>
    <row r="38" spans="1:11" x14ac:dyDescent="0.3">
      <c r="A38">
        <v>37</v>
      </c>
      <c r="B38" s="1">
        <v>45329</v>
      </c>
      <c r="C38">
        <v>2024</v>
      </c>
      <c r="D38" s="2" t="s">
        <v>31</v>
      </c>
      <c r="E38" s="2" t="s">
        <v>8</v>
      </c>
      <c r="F38" s="2" t="s">
        <v>15</v>
      </c>
      <c r="G38" s="2" t="s">
        <v>19</v>
      </c>
      <c r="H38" s="4">
        <v>2745</v>
      </c>
      <c r="I38" s="4">
        <v>1481.25</v>
      </c>
      <c r="J38" s="3">
        <v>0.04</v>
      </c>
      <c r="K38" s="4">
        <v>59.25</v>
      </c>
    </row>
    <row r="39" spans="1:11" x14ac:dyDescent="0.3">
      <c r="A39">
        <v>38</v>
      </c>
      <c r="B39" s="1">
        <v>45330</v>
      </c>
      <c r="C39">
        <v>2024</v>
      </c>
      <c r="D39" s="2" t="s">
        <v>31</v>
      </c>
      <c r="E39" s="2" t="s">
        <v>11</v>
      </c>
      <c r="F39" s="2" t="s">
        <v>12</v>
      </c>
      <c r="G39" s="2" t="s">
        <v>13</v>
      </c>
      <c r="H39" s="4">
        <v>3409</v>
      </c>
      <c r="I39" s="4">
        <v>3342.55</v>
      </c>
      <c r="J39" s="3">
        <v>0.05</v>
      </c>
      <c r="K39" s="4">
        <v>167.1275</v>
      </c>
    </row>
    <row r="40" spans="1:11" x14ac:dyDescent="0.3">
      <c r="A40">
        <v>39</v>
      </c>
      <c r="B40" s="1">
        <v>45331</v>
      </c>
      <c r="C40">
        <v>2024</v>
      </c>
      <c r="D40" s="2" t="s">
        <v>31</v>
      </c>
      <c r="E40" s="2" t="s">
        <v>8</v>
      </c>
      <c r="F40" s="2" t="s">
        <v>9</v>
      </c>
      <c r="G40" s="2" t="s">
        <v>10</v>
      </c>
      <c r="H40" s="4">
        <v>2706</v>
      </c>
      <c r="I40" s="4">
        <v>1636.94</v>
      </c>
      <c r="J40" s="3">
        <v>0.04</v>
      </c>
      <c r="K40" s="4">
        <v>65.477599999999995</v>
      </c>
    </row>
    <row r="41" spans="1:11" x14ac:dyDescent="0.3">
      <c r="A41">
        <v>40</v>
      </c>
      <c r="B41" s="1">
        <v>45332</v>
      </c>
      <c r="C41">
        <v>2024</v>
      </c>
      <c r="D41" s="2" t="s">
        <v>31</v>
      </c>
      <c r="E41" s="2" t="s">
        <v>11</v>
      </c>
      <c r="F41" s="2" t="s">
        <v>12</v>
      </c>
      <c r="G41" s="2" t="s">
        <v>16</v>
      </c>
      <c r="H41" s="4">
        <v>2470</v>
      </c>
      <c r="I41" s="4">
        <v>1832.85</v>
      </c>
      <c r="J41" s="3">
        <v>0.05</v>
      </c>
      <c r="K41" s="4">
        <v>91.642499999999998</v>
      </c>
    </row>
    <row r="42" spans="1:11" x14ac:dyDescent="0.3">
      <c r="A42">
        <v>41</v>
      </c>
      <c r="B42" s="1">
        <v>45333</v>
      </c>
      <c r="C42">
        <v>2024</v>
      </c>
      <c r="D42" s="2" t="s">
        <v>31</v>
      </c>
      <c r="E42" s="2" t="s">
        <v>8</v>
      </c>
      <c r="F42" s="2" t="s">
        <v>20</v>
      </c>
      <c r="G42" s="2" t="s">
        <v>10</v>
      </c>
      <c r="H42" s="4">
        <v>2395</v>
      </c>
      <c r="I42" s="4">
        <v>3560.56</v>
      </c>
      <c r="J42" s="3">
        <v>0.04</v>
      </c>
      <c r="K42" s="4">
        <v>142.42240000000001</v>
      </c>
    </row>
    <row r="43" spans="1:11" x14ac:dyDescent="0.3">
      <c r="A43">
        <v>42</v>
      </c>
      <c r="B43" s="1">
        <v>45334</v>
      </c>
      <c r="C43">
        <v>2024</v>
      </c>
      <c r="D43" s="2" t="s">
        <v>31</v>
      </c>
      <c r="E43" s="2" t="s">
        <v>8</v>
      </c>
      <c r="F43" s="2" t="s">
        <v>14</v>
      </c>
      <c r="G43" s="2" t="s">
        <v>13</v>
      </c>
      <c r="H43" s="4">
        <v>3555</v>
      </c>
      <c r="I43" s="4">
        <v>2284.0700000000002</v>
      </c>
      <c r="J43" s="3">
        <v>0.04</v>
      </c>
      <c r="K43" s="4">
        <v>91.362799999999993</v>
      </c>
    </row>
    <row r="44" spans="1:11" x14ac:dyDescent="0.3">
      <c r="A44">
        <v>43</v>
      </c>
      <c r="B44" s="1">
        <v>45335</v>
      </c>
      <c r="C44">
        <v>2024</v>
      </c>
      <c r="D44" s="2" t="s">
        <v>31</v>
      </c>
      <c r="E44" s="2" t="s">
        <v>11</v>
      </c>
      <c r="F44" s="2" t="s">
        <v>9</v>
      </c>
      <c r="G44" s="2" t="s">
        <v>13</v>
      </c>
      <c r="H44" s="4">
        <v>4308</v>
      </c>
      <c r="I44" s="4">
        <v>4303.21</v>
      </c>
      <c r="J44" s="3">
        <v>0.05</v>
      </c>
      <c r="K44" s="4">
        <v>215.16050000000001</v>
      </c>
    </row>
    <row r="45" spans="1:11" x14ac:dyDescent="0.3">
      <c r="A45">
        <v>44</v>
      </c>
      <c r="B45" s="1">
        <v>45336</v>
      </c>
      <c r="C45">
        <v>2024</v>
      </c>
      <c r="D45" s="2" t="s">
        <v>31</v>
      </c>
      <c r="E45" s="2" t="s">
        <v>11</v>
      </c>
      <c r="F45" s="2" t="s">
        <v>15</v>
      </c>
      <c r="G45" s="2" t="s">
        <v>10</v>
      </c>
      <c r="H45" s="4">
        <v>2804</v>
      </c>
      <c r="I45" s="4">
        <v>3135.31</v>
      </c>
      <c r="J45" s="3">
        <v>0.05</v>
      </c>
      <c r="K45" s="4">
        <v>156.7655</v>
      </c>
    </row>
    <row r="46" spans="1:11" x14ac:dyDescent="0.3">
      <c r="A46">
        <v>45</v>
      </c>
      <c r="B46" s="1">
        <v>45337</v>
      </c>
      <c r="C46">
        <v>2024</v>
      </c>
      <c r="D46" s="2" t="s">
        <v>31</v>
      </c>
      <c r="E46" s="2" t="s">
        <v>8</v>
      </c>
      <c r="F46" s="2" t="s">
        <v>9</v>
      </c>
      <c r="G46" s="2" t="s">
        <v>16</v>
      </c>
      <c r="H46" s="4">
        <v>2933</v>
      </c>
      <c r="I46" s="4">
        <v>3526.83</v>
      </c>
      <c r="J46" s="3">
        <v>0.04</v>
      </c>
      <c r="K46" s="4">
        <v>141.07320000000001</v>
      </c>
    </row>
    <row r="47" spans="1:11" x14ac:dyDescent="0.3">
      <c r="A47">
        <v>46</v>
      </c>
      <c r="B47" s="1">
        <v>45338</v>
      </c>
      <c r="C47">
        <v>2024</v>
      </c>
      <c r="D47" s="2" t="s">
        <v>31</v>
      </c>
      <c r="E47" s="2" t="s">
        <v>17</v>
      </c>
      <c r="F47" s="2" t="s">
        <v>9</v>
      </c>
      <c r="G47" s="2" t="s">
        <v>16</v>
      </c>
      <c r="H47" s="4">
        <v>3279</v>
      </c>
      <c r="I47" s="4">
        <v>3474.59</v>
      </c>
      <c r="J47" s="3">
        <v>7.0000000000000007E-2</v>
      </c>
      <c r="K47" s="4">
        <v>243.22130000000001</v>
      </c>
    </row>
    <row r="48" spans="1:11" x14ac:dyDescent="0.3">
      <c r="A48">
        <v>47</v>
      </c>
      <c r="B48" s="1">
        <v>45339</v>
      </c>
      <c r="C48">
        <v>2024</v>
      </c>
      <c r="D48" s="2" t="s">
        <v>31</v>
      </c>
      <c r="E48" s="2" t="s">
        <v>11</v>
      </c>
      <c r="F48" s="2" t="s">
        <v>9</v>
      </c>
      <c r="G48" s="2" t="s">
        <v>19</v>
      </c>
      <c r="H48" s="4">
        <v>3757</v>
      </c>
      <c r="I48" s="4">
        <v>1915.21</v>
      </c>
      <c r="J48" s="3">
        <v>0.05</v>
      </c>
      <c r="K48" s="4">
        <v>95.760499999999993</v>
      </c>
    </row>
    <row r="49" spans="1:11" x14ac:dyDescent="0.3">
      <c r="A49">
        <v>48</v>
      </c>
      <c r="B49" s="1">
        <v>45340</v>
      </c>
      <c r="C49">
        <v>2024</v>
      </c>
      <c r="D49" s="2" t="s">
        <v>31</v>
      </c>
      <c r="E49" s="2" t="s">
        <v>17</v>
      </c>
      <c r="F49" s="2" t="s">
        <v>21</v>
      </c>
      <c r="G49" s="2" t="s">
        <v>16</v>
      </c>
      <c r="H49" s="4">
        <v>2904</v>
      </c>
      <c r="I49" s="4">
        <v>2400.04</v>
      </c>
      <c r="J49" s="3">
        <v>7.0000000000000007E-2</v>
      </c>
      <c r="K49" s="4">
        <v>168.00280000000001</v>
      </c>
    </row>
    <row r="50" spans="1:11" x14ac:dyDescent="0.3">
      <c r="A50">
        <v>49</v>
      </c>
      <c r="B50" s="1">
        <v>45341</v>
      </c>
      <c r="C50">
        <v>2024</v>
      </c>
      <c r="D50" s="2" t="s">
        <v>31</v>
      </c>
      <c r="E50" s="2" t="s">
        <v>17</v>
      </c>
      <c r="F50" s="2" t="s">
        <v>9</v>
      </c>
      <c r="G50" s="2" t="s">
        <v>10</v>
      </c>
      <c r="H50" s="4">
        <v>3076</v>
      </c>
      <c r="I50" s="4">
        <v>3130.48</v>
      </c>
      <c r="J50" s="3">
        <v>7.0000000000000007E-2</v>
      </c>
      <c r="K50" s="4">
        <v>219.1336</v>
      </c>
    </row>
    <row r="51" spans="1:11" x14ac:dyDescent="0.3">
      <c r="A51">
        <v>50</v>
      </c>
      <c r="B51" s="1">
        <v>45342</v>
      </c>
      <c r="C51">
        <v>2024</v>
      </c>
      <c r="D51" s="2" t="s">
        <v>31</v>
      </c>
      <c r="E51" s="2" t="s">
        <v>17</v>
      </c>
      <c r="F51" s="2" t="s">
        <v>12</v>
      </c>
      <c r="G51" s="2" t="s">
        <v>13</v>
      </c>
      <c r="H51" s="4">
        <v>4987</v>
      </c>
      <c r="I51" s="4">
        <v>2931.69</v>
      </c>
      <c r="J51" s="3">
        <v>7.0000000000000007E-2</v>
      </c>
      <c r="K51" s="4">
        <v>205.2183</v>
      </c>
    </row>
    <row r="52" spans="1:11" x14ac:dyDescent="0.3">
      <c r="A52">
        <v>51</v>
      </c>
      <c r="B52" s="1">
        <v>45343</v>
      </c>
      <c r="C52">
        <v>2024</v>
      </c>
      <c r="D52" s="2" t="s">
        <v>31</v>
      </c>
      <c r="E52" s="2" t="s">
        <v>11</v>
      </c>
      <c r="F52" s="2" t="s">
        <v>14</v>
      </c>
      <c r="G52" s="2" t="s">
        <v>19</v>
      </c>
      <c r="H52" s="4">
        <v>3890</v>
      </c>
      <c r="I52" s="4">
        <v>3308.94</v>
      </c>
      <c r="J52" s="3">
        <v>0.05</v>
      </c>
      <c r="K52" s="4">
        <v>165.447</v>
      </c>
    </row>
    <row r="53" spans="1:11" x14ac:dyDescent="0.3">
      <c r="A53">
        <v>52</v>
      </c>
      <c r="B53" s="1">
        <v>45344</v>
      </c>
      <c r="C53">
        <v>2024</v>
      </c>
      <c r="D53" s="2" t="s">
        <v>31</v>
      </c>
      <c r="E53" s="2" t="s">
        <v>17</v>
      </c>
      <c r="F53" s="2" t="s">
        <v>20</v>
      </c>
      <c r="G53" s="2" t="s">
        <v>19</v>
      </c>
      <c r="H53" s="4">
        <v>3523</v>
      </c>
      <c r="I53" s="4">
        <v>1878.47</v>
      </c>
      <c r="J53" s="3">
        <v>7.0000000000000007E-2</v>
      </c>
      <c r="K53" s="4">
        <v>131.49289999999999</v>
      </c>
    </row>
    <row r="54" spans="1:11" x14ac:dyDescent="0.3">
      <c r="A54">
        <v>53</v>
      </c>
      <c r="B54" s="1">
        <v>45345</v>
      </c>
      <c r="C54">
        <v>2024</v>
      </c>
      <c r="D54" s="2" t="s">
        <v>31</v>
      </c>
      <c r="E54" s="2" t="s">
        <v>11</v>
      </c>
      <c r="F54" s="2" t="s">
        <v>18</v>
      </c>
      <c r="G54" s="2" t="s">
        <v>13</v>
      </c>
      <c r="H54" s="4">
        <v>4901</v>
      </c>
      <c r="I54" s="4">
        <v>2835.61</v>
      </c>
      <c r="J54" s="3">
        <v>0.05</v>
      </c>
      <c r="K54" s="4">
        <v>141.78049999999999</v>
      </c>
    </row>
    <row r="55" spans="1:11" x14ac:dyDescent="0.3">
      <c r="A55">
        <v>54</v>
      </c>
      <c r="B55" s="1">
        <v>45346</v>
      </c>
      <c r="C55">
        <v>2024</v>
      </c>
      <c r="D55" s="2" t="s">
        <v>31</v>
      </c>
      <c r="E55" s="2" t="s">
        <v>17</v>
      </c>
      <c r="F55" s="2" t="s">
        <v>9</v>
      </c>
      <c r="G55" s="2" t="s">
        <v>16</v>
      </c>
      <c r="H55" s="4">
        <v>3387</v>
      </c>
      <c r="I55" s="4">
        <v>3037.88</v>
      </c>
      <c r="J55" s="3">
        <v>7.0000000000000007E-2</v>
      </c>
      <c r="K55" s="4">
        <v>212.6516</v>
      </c>
    </row>
    <row r="56" spans="1:11" x14ac:dyDescent="0.3">
      <c r="A56">
        <v>55</v>
      </c>
      <c r="B56" s="1">
        <v>45347</v>
      </c>
      <c r="C56">
        <v>2024</v>
      </c>
      <c r="D56" s="2" t="s">
        <v>31</v>
      </c>
      <c r="E56" s="2" t="s">
        <v>8</v>
      </c>
      <c r="F56" s="2" t="s">
        <v>15</v>
      </c>
      <c r="G56" s="2" t="s">
        <v>13</v>
      </c>
      <c r="H56" s="4">
        <v>3303</v>
      </c>
      <c r="I56" s="4">
        <v>2089.86</v>
      </c>
      <c r="J56" s="3">
        <v>0.04</v>
      </c>
      <c r="K56" s="4">
        <v>83.594399999999993</v>
      </c>
    </row>
    <row r="57" spans="1:11" x14ac:dyDescent="0.3">
      <c r="A57">
        <v>56</v>
      </c>
      <c r="B57" s="1">
        <v>45348</v>
      </c>
      <c r="C57">
        <v>2024</v>
      </c>
      <c r="D57" s="2" t="s">
        <v>31</v>
      </c>
      <c r="E57" s="2" t="s">
        <v>8</v>
      </c>
      <c r="F57" s="2" t="s">
        <v>9</v>
      </c>
      <c r="G57" s="2" t="s">
        <v>16</v>
      </c>
      <c r="H57" s="4">
        <v>2592</v>
      </c>
      <c r="I57" s="4">
        <v>2767.07</v>
      </c>
      <c r="J57" s="3">
        <v>0.04</v>
      </c>
      <c r="K57" s="4">
        <v>110.6828</v>
      </c>
    </row>
    <row r="58" spans="1:11" x14ac:dyDescent="0.3">
      <c r="A58">
        <v>57</v>
      </c>
      <c r="B58" s="1">
        <v>45349</v>
      </c>
      <c r="C58">
        <v>2024</v>
      </c>
      <c r="D58" s="2" t="s">
        <v>31</v>
      </c>
      <c r="E58" s="2" t="s">
        <v>11</v>
      </c>
      <c r="F58" s="2" t="s">
        <v>15</v>
      </c>
      <c r="G58" s="2" t="s">
        <v>13</v>
      </c>
      <c r="H58" s="4">
        <v>4761</v>
      </c>
      <c r="I58" s="4">
        <v>5663.04</v>
      </c>
      <c r="J58" s="3">
        <v>0.05</v>
      </c>
      <c r="K58" s="4">
        <v>283.15199999999999</v>
      </c>
    </row>
    <row r="59" spans="1:11" x14ac:dyDescent="0.3">
      <c r="A59">
        <v>58</v>
      </c>
      <c r="B59" s="1">
        <v>45350</v>
      </c>
      <c r="C59">
        <v>2024</v>
      </c>
      <c r="D59" s="2" t="s">
        <v>31</v>
      </c>
      <c r="E59" s="2" t="s">
        <v>8</v>
      </c>
      <c r="F59" s="2" t="s">
        <v>12</v>
      </c>
      <c r="G59" s="2" t="s">
        <v>10</v>
      </c>
      <c r="H59" s="4">
        <v>4679</v>
      </c>
      <c r="I59" s="4">
        <v>6085.45</v>
      </c>
      <c r="J59" s="3">
        <v>0.04</v>
      </c>
      <c r="K59" s="4">
        <v>243.41800000000001</v>
      </c>
    </row>
    <row r="60" spans="1:11" x14ac:dyDescent="0.3">
      <c r="A60">
        <v>59</v>
      </c>
      <c r="B60" s="1">
        <v>45351</v>
      </c>
      <c r="C60">
        <v>2024</v>
      </c>
      <c r="D60" s="2" t="s">
        <v>31</v>
      </c>
      <c r="E60" s="2" t="s">
        <v>8</v>
      </c>
      <c r="F60" s="2" t="s">
        <v>15</v>
      </c>
      <c r="G60" s="2" t="s">
        <v>16</v>
      </c>
      <c r="H60" s="4">
        <v>4106</v>
      </c>
      <c r="I60" s="4">
        <v>2874.82</v>
      </c>
      <c r="J60" s="3">
        <v>0.04</v>
      </c>
      <c r="K60" s="4">
        <v>114.9928</v>
      </c>
    </row>
    <row r="61" spans="1:11" x14ac:dyDescent="0.3">
      <c r="A61">
        <v>60</v>
      </c>
      <c r="B61" s="1">
        <v>45352</v>
      </c>
      <c r="C61">
        <v>2024</v>
      </c>
      <c r="D61" s="2" t="s">
        <v>32</v>
      </c>
      <c r="E61" s="2" t="s">
        <v>17</v>
      </c>
      <c r="F61" s="2" t="s">
        <v>18</v>
      </c>
      <c r="G61" s="2" t="s">
        <v>10</v>
      </c>
      <c r="H61" s="4">
        <v>2127</v>
      </c>
      <c r="I61" s="4">
        <v>1419.74</v>
      </c>
      <c r="J61" s="3">
        <v>7.0000000000000007E-2</v>
      </c>
      <c r="K61" s="4">
        <v>99.381799999999998</v>
      </c>
    </row>
    <row r="62" spans="1:11" x14ac:dyDescent="0.3">
      <c r="A62">
        <v>61</v>
      </c>
      <c r="B62" s="1">
        <v>45353</v>
      </c>
      <c r="C62">
        <v>2024</v>
      </c>
      <c r="D62" s="2" t="s">
        <v>32</v>
      </c>
      <c r="E62" s="2" t="s">
        <v>11</v>
      </c>
      <c r="F62" s="2" t="s">
        <v>14</v>
      </c>
      <c r="G62" s="2" t="s">
        <v>19</v>
      </c>
      <c r="H62" s="4">
        <v>2735</v>
      </c>
      <c r="I62" s="4">
        <v>1653.49</v>
      </c>
      <c r="J62" s="3">
        <v>0.05</v>
      </c>
      <c r="K62" s="4">
        <v>82.674499999999995</v>
      </c>
    </row>
    <row r="63" spans="1:11" x14ac:dyDescent="0.3">
      <c r="A63">
        <v>62</v>
      </c>
      <c r="B63" s="1">
        <v>45354</v>
      </c>
      <c r="C63">
        <v>2024</v>
      </c>
      <c r="D63" s="2" t="s">
        <v>32</v>
      </c>
      <c r="E63" s="2" t="s">
        <v>17</v>
      </c>
      <c r="F63" s="2" t="s">
        <v>15</v>
      </c>
      <c r="G63" s="2" t="s">
        <v>13</v>
      </c>
      <c r="H63" s="4">
        <v>4768</v>
      </c>
      <c r="I63" s="4">
        <v>5418.5</v>
      </c>
      <c r="J63" s="3">
        <v>7.0000000000000007E-2</v>
      </c>
      <c r="K63" s="4">
        <v>379.29500000000002</v>
      </c>
    </row>
    <row r="64" spans="1:11" x14ac:dyDescent="0.3">
      <c r="A64">
        <v>63</v>
      </c>
      <c r="B64" s="1">
        <v>45355</v>
      </c>
      <c r="C64">
        <v>2024</v>
      </c>
      <c r="D64" s="2" t="s">
        <v>32</v>
      </c>
      <c r="E64" s="2" t="s">
        <v>17</v>
      </c>
      <c r="F64" s="2" t="s">
        <v>15</v>
      </c>
      <c r="G64" s="2" t="s">
        <v>19</v>
      </c>
      <c r="H64" s="4">
        <v>4573</v>
      </c>
      <c r="I64" s="4">
        <v>5517.21</v>
      </c>
      <c r="J64" s="3">
        <v>7.0000000000000007E-2</v>
      </c>
      <c r="K64" s="4">
        <v>386.2047</v>
      </c>
    </row>
    <row r="65" spans="1:11" x14ac:dyDescent="0.3">
      <c r="A65">
        <v>64</v>
      </c>
      <c r="B65" s="1">
        <v>45356</v>
      </c>
      <c r="C65">
        <v>2024</v>
      </c>
      <c r="D65" s="2" t="s">
        <v>32</v>
      </c>
      <c r="E65" s="2" t="s">
        <v>17</v>
      </c>
      <c r="F65" s="2" t="s">
        <v>14</v>
      </c>
      <c r="G65" s="2" t="s">
        <v>19</v>
      </c>
      <c r="H65" s="4">
        <v>2520</v>
      </c>
      <c r="I65" s="4">
        <v>1339.6</v>
      </c>
      <c r="J65" s="3">
        <v>7.0000000000000007E-2</v>
      </c>
      <c r="K65" s="4">
        <v>93.772000000000006</v>
      </c>
    </row>
    <row r="66" spans="1:11" x14ac:dyDescent="0.3">
      <c r="A66">
        <v>65</v>
      </c>
      <c r="B66" s="1">
        <v>45357</v>
      </c>
      <c r="C66">
        <v>2024</v>
      </c>
      <c r="D66" s="2" t="s">
        <v>32</v>
      </c>
      <c r="E66" s="2" t="s">
        <v>17</v>
      </c>
      <c r="F66" s="2" t="s">
        <v>18</v>
      </c>
      <c r="G66" s="2" t="s">
        <v>19</v>
      </c>
      <c r="H66" s="4">
        <v>4599</v>
      </c>
      <c r="I66" s="4">
        <v>6605.14</v>
      </c>
      <c r="J66" s="3">
        <v>7.0000000000000007E-2</v>
      </c>
      <c r="K66" s="4">
        <v>462.35980000000001</v>
      </c>
    </row>
    <row r="67" spans="1:11" x14ac:dyDescent="0.3">
      <c r="A67">
        <v>66</v>
      </c>
      <c r="B67" s="1">
        <v>45358</v>
      </c>
      <c r="C67">
        <v>2024</v>
      </c>
      <c r="D67" s="2" t="s">
        <v>32</v>
      </c>
      <c r="E67" s="2" t="s">
        <v>17</v>
      </c>
      <c r="F67" s="2" t="s">
        <v>9</v>
      </c>
      <c r="G67" s="2" t="s">
        <v>19</v>
      </c>
      <c r="H67" s="4">
        <v>2236</v>
      </c>
      <c r="I67" s="4">
        <v>1234.21</v>
      </c>
      <c r="J67" s="3">
        <v>7.0000000000000007E-2</v>
      </c>
      <c r="K67" s="4">
        <v>86.3947</v>
      </c>
    </row>
    <row r="68" spans="1:11" x14ac:dyDescent="0.3">
      <c r="A68">
        <v>67</v>
      </c>
      <c r="B68" s="1">
        <v>45359</v>
      </c>
      <c r="C68">
        <v>2024</v>
      </c>
      <c r="D68" s="2" t="s">
        <v>32</v>
      </c>
      <c r="E68" s="2" t="s">
        <v>17</v>
      </c>
      <c r="F68" s="2" t="s">
        <v>15</v>
      </c>
      <c r="G68" s="2" t="s">
        <v>13</v>
      </c>
      <c r="H68" s="4">
        <v>3304</v>
      </c>
      <c r="I68" s="4">
        <v>3440.44</v>
      </c>
      <c r="J68" s="3">
        <v>7.0000000000000007E-2</v>
      </c>
      <c r="K68" s="4">
        <v>240.83080000000001</v>
      </c>
    </row>
    <row r="69" spans="1:11" x14ac:dyDescent="0.3">
      <c r="A69">
        <v>68</v>
      </c>
      <c r="B69" s="1">
        <v>45360</v>
      </c>
      <c r="C69">
        <v>2024</v>
      </c>
      <c r="D69" s="2" t="s">
        <v>32</v>
      </c>
      <c r="E69" s="2" t="s">
        <v>17</v>
      </c>
      <c r="F69" s="2" t="s">
        <v>14</v>
      </c>
      <c r="G69" s="2" t="s">
        <v>19</v>
      </c>
      <c r="H69" s="4">
        <v>3781</v>
      </c>
      <c r="I69" s="4">
        <v>4571.46</v>
      </c>
      <c r="J69" s="3">
        <v>7.0000000000000007E-2</v>
      </c>
      <c r="K69" s="4">
        <v>320.00220000000002</v>
      </c>
    </row>
    <row r="70" spans="1:11" x14ac:dyDescent="0.3">
      <c r="A70">
        <v>69</v>
      </c>
      <c r="B70" s="1">
        <v>45361</v>
      </c>
      <c r="C70">
        <v>2024</v>
      </c>
      <c r="D70" s="2" t="s">
        <v>32</v>
      </c>
      <c r="E70" s="2" t="s">
        <v>11</v>
      </c>
      <c r="F70" s="2" t="s">
        <v>12</v>
      </c>
      <c r="G70" s="2" t="s">
        <v>13</v>
      </c>
      <c r="H70" s="4">
        <v>3301</v>
      </c>
      <c r="I70" s="4">
        <v>4525.57</v>
      </c>
      <c r="J70" s="3">
        <v>0.05</v>
      </c>
      <c r="K70" s="4">
        <v>226.27850000000001</v>
      </c>
    </row>
    <row r="71" spans="1:11" x14ac:dyDescent="0.3">
      <c r="A71">
        <v>70</v>
      </c>
      <c r="B71" s="1">
        <v>45362</v>
      </c>
      <c r="C71">
        <v>2024</v>
      </c>
      <c r="D71" s="2" t="s">
        <v>32</v>
      </c>
      <c r="E71" s="2" t="s">
        <v>8</v>
      </c>
      <c r="F71" s="2" t="s">
        <v>14</v>
      </c>
      <c r="G71" s="2" t="s">
        <v>13</v>
      </c>
      <c r="H71" s="4">
        <v>4541</v>
      </c>
      <c r="I71" s="4">
        <v>5513.17</v>
      </c>
      <c r="J71" s="3">
        <v>0.04</v>
      </c>
      <c r="K71" s="4">
        <v>220.52680000000001</v>
      </c>
    </row>
    <row r="72" spans="1:11" x14ac:dyDescent="0.3">
      <c r="A72">
        <v>71</v>
      </c>
      <c r="B72" s="1">
        <v>45363</v>
      </c>
      <c r="C72">
        <v>2024</v>
      </c>
      <c r="D72" s="2" t="s">
        <v>32</v>
      </c>
      <c r="E72" s="2" t="s">
        <v>17</v>
      </c>
      <c r="F72" s="2" t="s">
        <v>12</v>
      </c>
      <c r="G72" s="2" t="s">
        <v>10</v>
      </c>
      <c r="H72" s="4">
        <v>4051</v>
      </c>
      <c r="I72" s="4">
        <v>5273.3</v>
      </c>
      <c r="J72" s="3">
        <v>7.0000000000000007E-2</v>
      </c>
      <c r="K72" s="4">
        <v>369.13099999999997</v>
      </c>
    </row>
    <row r="73" spans="1:11" x14ac:dyDescent="0.3">
      <c r="A73">
        <v>72</v>
      </c>
      <c r="B73" s="1">
        <v>45364</v>
      </c>
      <c r="C73">
        <v>2024</v>
      </c>
      <c r="D73" s="2" t="s">
        <v>32</v>
      </c>
      <c r="E73" s="2" t="s">
        <v>17</v>
      </c>
      <c r="F73" s="2" t="s">
        <v>18</v>
      </c>
      <c r="G73" s="2" t="s">
        <v>16</v>
      </c>
      <c r="H73" s="4">
        <v>4713</v>
      </c>
      <c r="I73" s="4">
        <v>3956.33</v>
      </c>
      <c r="J73" s="3">
        <v>7.0000000000000007E-2</v>
      </c>
      <c r="K73" s="4">
        <v>276.94310000000002</v>
      </c>
    </row>
    <row r="74" spans="1:11" x14ac:dyDescent="0.3">
      <c r="A74">
        <v>73</v>
      </c>
      <c r="B74" s="1">
        <v>45365</v>
      </c>
      <c r="C74">
        <v>2024</v>
      </c>
      <c r="D74" s="2" t="s">
        <v>32</v>
      </c>
      <c r="E74" s="2" t="s">
        <v>17</v>
      </c>
      <c r="F74" s="2" t="s">
        <v>9</v>
      </c>
      <c r="G74" s="2" t="s">
        <v>16</v>
      </c>
      <c r="H74" s="4">
        <v>2441</v>
      </c>
      <c r="I74" s="4">
        <v>3209.49</v>
      </c>
      <c r="J74" s="3">
        <v>7.0000000000000007E-2</v>
      </c>
      <c r="K74" s="4">
        <v>224.6643</v>
      </c>
    </row>
    <row r="75" spans="1:11" x14ac:dyDescent="0.3">
      <c r="A75">
        <v>74</v>
      </c>
      <c r="B75" s="1">
        <v>45366</v>
      </c>
      <c r="C75">
        <v>2024</v>
      </c>
      <c r="D75" s="2" t="s">
        <v>32</v>
      </c>
      <c r="E75" s="2" t="s">
        <v>17</v>
      </c>
      <c r="F75" s="2" t="s">
        <v>14</v>
      </c>
      <c r="G75" s="2" t="s">
        <v>13</v>
      </c>
      <c r="H75" s="4">
        <v>4076</v>
      </c>
      <c r="I75" s="4">
        <v>2364.5500000000002</v>
      </c>
      <c r="J75" s="3">
        <v>7.0000000000000007E-2</v>
      </c>
      <c r="K75" s="4">
        <v>165.51849999999999</v>
      </c>
    </row>
    <row r="76" spans="1:11" x14ac:dyDescent="0.3">
      <c r="A76">
        <v>75</v>
      </c>
      <c r="B76" s="1">
        <v>45367</v>
      </c>
      <c r="C76">
        <v>2024</v>
      </c>
      <c r="D76" s="2" t="s">
        <v>32</v>
      </c>
      <c r="E76" s="2" t="s">
        <v>17</v>
      </c>
      <c r="F76" s="2" t="s">
        <v>20</v>
      </c>
      <c r="G76" s="2" t="s">
        <v>10</v>
      </c>
      <c r="H76" s="4">
        <v>4657</v>
      </c>
      <c r="I76" s="4">
        <v>6495.66</v>
      </c>
      <c r="J76" s="3">
        <v>7.0000000000000007E-2</v>
      </c>
      <c r="K76" s="4">
        <v>454.69619999999998</v>
      </c>
    </row>
    <row r="77" spans="1:11" x14ac:dyDescent="0.3">
      <c r="A77">
        <v>76</v>
      </c>
      <c r="B77" s="1">
        <v>45368</v>
      </c>
      <c r="C77">
        <v>2024</v>
      </c>
      <c r="D77" s="2" t="s">
        <v>32</v>
      </c>
      <c r="E77" s="2" t="s">
        <v>17</v>
      </c>
      <c r="F77" s="2" t="s">
        <v>20</v>
      </c>
      <c r="G77" s="2" t="s">
        <v>13</v>
      </c>
      <c r="H77" s="4">
        <v>2804</v>
      </c>
      <c r="I77" s="4">
        <v>2937.45</v>
      </c>
      <c r="J77" s="3">
        <v>7.0000000000000007E-2</v>
      </c>
      <c r="K77" s="4">
        <v>205.6215</v>
      </c>
    </row>
    <row r="78" spans="1:11" x14ac:dyDescent="0.3">
      <c r="A78">
        <v>77</v>
      </c>
      <c r="B78" s="1">
        <v>45369</v>
      </c>
      <c r="C78">
        <v>2024</v>
      </c>
      <c r="D78" s="2" t="s">
        <v>32</v>
      </c>
      <c r="E78" s="2" t="s">
        <v>8</v>
      </c>
      <c r="F78" s="2" t="s">
        <v>21</v>
      </c>
      <c r="G78" s="2" t="s">
        <v>13</v>
      </c>
      <c r="H78" s="4">
        <v>2074</v>
      </c>
      <c r="I78" s="4">
        <v>2732.08</v>
      </c>
      <c r="J78" s="3">
        <v>0.04</v>
      </c>
      <c r="K78" s="4">
        <v>109.28319999999999</v>
      </c>
    </row>
    <row r="79" spans="1:11" x14ac:dyDescent="0.3">
      <c r="A79">
        <v>78</v>
      </c>
      <c r="B79" s="1">
        <v>45370</v>
      </c>
      <c r="C79">
        <v>2024</v>
      </c>
      <c r="D79" s="2" t="s">
        <v>32</v>
      </c>
      <c r="E79" s="2" t="s">
        <v>8</v>
      </c>
      <c r="F79" s="2" t="s">
        <v>15</v>
      </c>
      <c r="G79" s="2" t="s">
        <v>13</v>
      </c>
      <c r="H79" s="4">
        <v>4885</v>
      </c>
      <c r="I79" s="4">
        <v>4652.07</v>
      </c>
      <c r="J79" s="3">
        <v>0.04</v>
      </c>
      <c r="K79" s="4">
        <v>186.08279999999999</v>
      </c>
    </row>
    <row r="80" spans="1:11" x14ac:dyDescent="0.3">
      <c r="A80">
        <v>79</v>
      </c>
      <c r="B80" s="1">
        <v>45372</v>
      </c>
      <c r="C80">
        <v>2024</v>
      </c>
      <c r="D80" s="2" t="s">
        <v>32</v>
      </c>
      <c r="E80" s="2" t="s">
        <v>8</v>
      </c>
      <c r="F80" s="2" t="s">
        <v>14</v>
      </c>
      <c r="G80" s="2" t="s">
        <v>16</v>
      </c>
      <c r="H80" s="4">
        <v>4089</v>
      </c>
      <c r="I80" s="4">
        <v>4196.96</v>
      </c>
      <c r="J80" s="3">
        <v>0.04</v>
      </c>
      <c r="K80" s="4">
        <v>167.8784</v>
      </c>
    </row>
    <row r="81" spans="1:11" x14ac:dyDescent="0.3">
      <c r="A81">
        <v>80</v>
      </c>
      <c r="B81" s="1">
        <v>45373</v>
      </c>
      <c r="C81">
        <v>2024</v>
      </c>
      <c r="D81" s="2" t="s">
        <v>32</v>
      </c>
      <c r="E81" s="2" t="s">
        <v>11</v>
      </c>
      <c r="F81" s="2" t="s">
        <v>20</v>
      </c>
      <c r="G81" s="2" t="s">
        <v>10</v>
      </c>
      <c r="H81" s="4">
        <v>3379</v>
      </c>
      <c r="I81" s="4">
        <v>4161.54</v>
      </c>
      <c r="J81" s="3">
        <v>0.05</v>
      </c>
      <c r="K81" s="4">
        <v>208.077</v>
      </c>
    </row>
    <row r="82" spans="1:11" x14ac:dyDescent="0.3">
      <c r="A82">
        <v>81</v>
      </c>
      <c r="B82" s="1">
        <v>45374</v>
      </c>
      <c r="C82">
        <v>2024</v>
      </c>
      <c r="D82" s="2" t="s">
        <v>32</v>
      </c>
      <c r="E82" s="2" t="s">
        <v>17</v>
      </c>
      <c r="F82" s="2" t="s">
        <v>15</v>
      </c>
      <c r="G82" s="2" t="s">
        <v>19</v>
      </c>
      <c r="H82" s="4">
        <v>2040</v>
      </c>
      <c r="I82" s="4">
        <v>1186.53</v>
      </c>
      <c r="J82" s="3">
        <v>7.0000000000000007E-2</v>
      </c>
      <c r="K82" s="4">
        <v>83.057100000000005</v>
      </c>
    </row>
    <row r="83" spans="1:11" x14ac:dyDescent="0.3">
      <c r="A83">
        <v>82</v>
      </c>
      <c r="B83" s="1">
        <v>45375</v>
      </c>
      <c r="C83">
        <v>2024</v>
      </c>
      <c r="D83" s="2" t="s">
        <v>32</v>
      </c>
      <c r="E83" s="2" t="s">
        <v>11</v>
      </c>
      <c r="F83" s="2" t="s">
        <v>20</v>
      </c>
      <c r="G83" s="2" t="s">
        <v>10</v>
      </c>
      <c r="H83" s="4">
        <v>4981</v>
      </c>
      <c r="I83" s="4">
        <v>2791.11</v>
      </c>
      <c r="J83" s="3">
        <v>0.05</v>
      </c>
      <c r="K83" s="4">
        <v>139.55549999999999</v>
      </c>
    </row>
    <row r="84" spans="1:11" x14ac:dyDescent="0.3">
      <c r="A84">
        <v>83</v>
      </c>
      <c r="B84" s="1">
        <v>45376</v>
      </c>
      <c r="C84">
        <v>2024</v>
      </c>
      <c r="D84" s="2" t="s">
        <v>32</v>
      </c>
      <c r="E84" s="2" t="s">
        <v>11</v>
      </c>
      <c r="F84" s="2" t="s">
        <v>14</v>
      </c>
      <c r="G84" s="2" t="s">
        <v>10</v>
      </c>
      <c r="H84" s="4">
        <v>4081</v>
      </c>
      <c r="I84" s="4">
        <v>3048.93</v>
      </c>
      <c r="J84" s="3">
        <v>0.05</v>
      </c>
      <c r="K84" s="4">
        <v>152.44649999999999</v>
      </c>
    </row>
    <row r="85" spans="1:11" x14ac:dyDescent="0.3">
      <c r="A85">
        <v>84</v>
      </c>
      <c r="B85" s="1">
        <v>45377</v>
      </c>
      <c r="C85">
        <v>2024</v>
      </c>
      <c r="D85" s="2" t="s">
        <v>32</v>
      </c>
      <c r="E85" s="2" t="s">
        <v>17</v>
      </c>
      <c r="F85" s="2" t="s">
        <v>12</v>
      </c>
      <c r="G85" s="2" t="s">
        <v>10</v>
      </c>
      <c r="H85" s="4">
        <v>3700</v>
      </c>
      <c r="I85" s="4">
        <v>2440.3200000000002</v>
      </c>
      <c r="J85" s="3">
        <v>7.0000000000000007E-2</v>
      </c>
      <c r="K85" s="4">
        <v>170.82239999999999</v>
      </c>
    </row>
    <row r="86" spans="1:11" x14ac:dyDescent="0.3">
      <c r="A86">
        <v>85</v>
      </c>
      <c r="B86" s="1">
        <v>45378</v>
      </c>
      <c r="C86">
        <v>2024</v>
      </c>
      <c r="D86" s="2" t="s">
        <v>32</v>
      </c>
      <c r="E86" s="2" t="s">
        <v>8</v>
      </c>
      <c r="F86" s="2" t="s">
        <v>14</v>
      </c>
      <c r="G86" s="2" t="s">
        <v>10</v>
      </c>
      <c r="H86" s="4">
        <v>3401</v>
      </c>
      <c r="I86" s="4">
        <v>4665.4399999999996</v>
      </c>
      <c r="J86" s="3">
        <v>0.04</v>
      </c>
      <c r="K86" s="4">
        <v>186.61760000000001</v>
      </c>
    </row>
    <row r="87" spans="1:11" x14ac:dyDescent="0.3">
      <c r="A87">
        <v>86</v>
      </c>
      <c r="B87" s="1">
        <v>45379</v>
      </c>
      <c r="C87">
        <v>2024</v>
      </c>
      <c r="D87" s="2" t="s">
        <v>32</v>
      </c>
      <c r="E87" s="2" t="s">
        <v>11</v>
      </c>
      <c r="F87" s="2" t="s">
        <v>21</v>
      </c>
      <c r="G87" s="2" t="s">
        <v>16</v>
      </c>
      <c r="H87" s="4">
        <v>2587</v>
      </c>
      <c r="I87" s="4">
        <v>1860.61</v>
      </c>
      <c r="J87" s="3">
        <v>0.05</v>
      </c>
      <c r="K87" s="4">
        <v>93.030500000000004</v>
      </c>
    </row>
    <row r="88" spans="1:11" x14ac:dyDescent="0.3">
      <c r="A88">
        <v>87</v>
      </c>
      <c r="B88" s="1">
        <v>45380</v>
      </c>
      <c r="C88">
        <v>2024</v>
      </c>
      <c r="D88" s="2" t="s">
        <v>32</v>
      </c>
      <c r="E88" s="2" t="s">
        <v>17</v>
      </c>
      <c r="F88" s="2" t="s">
        <v>14</v>
      </c>
      <c r="G88" s="2" t="s">
        <v>19</v>
      </c>
      <c r="H88" s="4">
        <v>3622</v>
      </c>
      <c r="I88" s="4">
        <v>5345.58</v>
      </c>
      <c r="J88" s="3">
        <v>7.0000000000000007E-2</v>
      </c>
      <c r="K88" s="4">
        <v>374.19060000000002</v>
      </c>
    </row>
    <row r="89" spans="1:11" x14ac:dyDescent="0.3">
      <c r="A89">
        <v>88</v>
      </c>
      <c r="B89" s="1">
        <v>45381</v>
      </c>
      <c r="C89">
        <v>2024</v>
      </c>
      <c r="D89" s="2" t="s">
        <v>32</v>
      </c>
      <c r="E89" s="2" t="s">
        <v>11</v>
      </c>
      <c r="F89" s="2" t="s">
        <v>14</v>
      </c>
      <c r="G89" s="2" t="s">
        <v>16</v>
      </c>
      <c r="H89" s="4">
        <v>2341</v>
      </c>
      <c r="I89" s="4">
        <v>1959.17</v>
      </c>
      <c r="J89" s="3">
        <v>0.05</v>
      </c>
      <c r="K89" s="4">
        <v>97.958500000000001</v>
      </c>
    </row>
    <row r="90" spans="1:11" x14ac:dyDescent="0.3">
      <c r="A90">
        <v>89</v>
      </c>
      <c r="B90" s="1">
        <v>45382</v>
      </c>
      <c r="C90">
        <v>2024</v>
      </c>
      <c r="D90" s="2" t="s">
        <v>32</v>
      </c>
      <c r="E90" s="2" t="s">
        <v>11</v>
      </c>
      <c r="F90" s="2" t="s">
        <v>21</v>
      </c>
      <c r="G90" s="2" t="s">
        <v>16</v>
      </c>
      <c r="H90" s="4">
        <v>4074</v>
      </c>
      <c r="I90" s="4">
        <v>2778.95</v>
      </c>
      <c r="J90" s="3">
        <v>0.05</v>
      </c>
      <c r="K90" s="4">
        <v>138.94749999999999</v>
      </c>
    </row>
    <row r="91" spans="1:11" x14ac:dyDescent="0.3">
      <c r="A91">
        <v>90</v>
      </c>
      <c r="B91" s="1">
        <v>45383</v>
      </c>
      <c r="C91">
        <v>2024</v>
      </c>
      <c r="D91" s="2" t="s">
        <v>33</v>
      </c>
      <c r="E91" s="2" t="s">
        <v>11</v>
      </c>
      <c r="F91" s="2" t="s">
        <v>18</v>
      </c>
      <c r="G91" s="2" t="s">
        <v>10</v>
      </c>
      <c r="H91" s="4">
        <v>2645</v>
      </c>
      <c r="I91" s="4">
        <v>3411.25</v>
      </c>
      <c r="J91" s="3">
        <v>0.05</v>
      </c>
      <c r="K91" s="4">
        <v>170.5625</v>
      </c>
    </row>
    <row r="92" spans="1:11" x14ac:dyDescent="0.3">
      <c r="A92">
        <v>91</v>
      </c>
      <c r="B92" s="1">
        <v>45384</v>
      </c>
      <c r="C92">
        <v>2024</v>
      </c>
      <c r="D92" s="2" t="s">
        <v>33</v>
      </c>
      <c r="E92" s="2" t="s">
        <v>11</v>
      </c>
      <c r="F92" s="2" t="s">
        <v>14</v>
      </c>
      <c r="G92" s="2" t="s">
        <v>13</v>
      </c>
      <c r="H92" s="4">
        <v>2730</v>
      </c>
      <c r="I92" s="4">
        <v>3163.27</v>
      </c>
      <c r="J92" s="3">
        <v>0.05</v>
      </c>
      <c r="K92" s="4">
        <v>158.1635</v>
      </c>
    </row>
    <row r="93" spans="1:11" x14ac:dyDescent="0.3">
      <c r="A93">
        <v>92</v>
      </c>
      <c r="B93" s="1">
        <v>45385</v>
      </c>
      <c r="C93">
        <v>2024</v>
      </c>
      <c r="D93" s="2" t="s">
        <v>33</v>
      </c>
      <c r="E93" s="2" t="s">
        <v>8</v>
      </c>
      <c r="F93" s="2" t="s">
        <v>21</v>
      </c>
      <c r="G93" s="2" t="s">
        <v>13</v>
      </c>
      <c r="H93" s="4">
        <v>2167</v>
      </c>
      <c r="I93" s="4">
        <v>2163.09</v>
      </c>
      <c r="J93" s="3">
        <v>0.04</v>
      </c>
      <c r="K93" s="4">
        <v>86.523600000000002</v>
      </c>
    </row>
    <row r="94" spans="1:11" x14ac:dyDescent="0.3">
      <c r="A94">
        <v>93</v>
      </c>
      <c r="B94" s="1">
        <v>45386</v>
      </c>
      <c r="C94">
        <v>2024</v>
      </c>
      <c r="D94" s="2" t="s">
        <v>33</v>
      </c>
      <c r="E94" s="2" t="s">
        <v>11</v>
      </c>
      <c r="F94" s="2" t="s">
        <v>15</v>
      </c>
      <c r="G94" s="2" t="s">
        <v>16</v>
      </c>
      <c r="H94" s="4">
        <v>2609</v>
      </c>
      <c r="I94" s="4">
        <v>2753.44</v>
      </c>
      <c r="J94" s="3">
        <v>0.05</v>
      </c>
      <c r="K94" s="4">
        <v>137.672</v>
      </c>
    </row>
    <row r="95" spans="1:11" x14ac:dyDescent="0.3">
      <c r="A95">
        <v>94</v>
      </c>
      <c r="B95" s="1">
        <v>45388</v>
      </c>
      <c r="C95">
        <v>2024</v>
      </c>
      <c r="D95" s="2" t="s">
        <v>33</v>
      </c>
      <c r="E95" s="2" t="s">
        <v>11</v>
      </c>
      <c r="F95" s="2" t="s">
        <v>12</v>
      </c>
      <c r="G95" s="2" t="s">
        <v>10</v>
      </c>
      <c r="H95" s="4">
        <v>3772</v>
      </c>
      <c r="I95" s="4">
        <v>2747.73</v>
      </c>
      <c r="J95" s="3">
        <v>0.05</v>
      </c>
      <c r="K95" s="4">
        <v>137.38650000000001</v>
      </c>
    </row>
    <row r="96" spans="1:11" x14ac:dyDescent="0.3">
      <c r="A96">
        <v>95</v>
      </c>
      <c r="B96" s="1">
        <v>45389</v>
      </c>
      <c r="C96">
        <v>2024</v>
      </c>
      <c r="D96" s="2" t="s">
        <v>33</v>
      </c>
      <c r="E96" s="2" t="s">
        <v>8</v>
      </c>
      <c r="F96" s="2" t="s">
        <v>14</v>
      </c>
      <c r="G96" s="2" t="s">
        <v>16</v>
      </c>
      <c r="H96" s="4">
        <v>4040</v>
      </c>
      <c r="I96" s="4">
        <v>6045.19</v>
      </c>
      <c r="J96" s="3">
        <v>0.04</v>
      </c>
      <c r="K96" s="4">
        <v>241.80760000000001</v>
      </c>
    </row>
    <row r="97" spans="1:11" x14ac:dyDescent="0.3">
      <c r="A97">
        <v>96</v>
      </c>
      <c r="B97" s="1">
        <v>45390</v>
      </c>
      <c r="C97">
        <v>2024</v>
      </c>
      <c r="D97" s="2" t="s">
        <v>33</v>
      </c>
      <c r="E97" s="2" t="s">
        <v>11</v>
      </c>
      <c r="F97" s="2" t="s">
        <v>18</v>
      </c>
      <c r="G97" s="2" t="s">
        <v>10</v>
      </c>
      <c r="H97" s="4">
        <v>4868</v>
      </c>
      <c r="I97" s="4">
        <v>7179.29</v>
      </c>
      <c r="J97" s="3">
        <v>0.05</v>
      </c>
      <c r="K97" s="4">
        <v>358.96449999999999</v>
      </c>
    </row>
    <row r="98" spans="1:11" x14ac:dyDescent="0.3">
      <c r="A98">
        <v>97</v>
      </c>
      <c r="B98" s="1">
        <v>45391</v>
      </c>
      <c r="C98">
        <v>2024</v>
      </c>
      <c r="D98" s="2" t="s">
        <v>33</v>
      </c>
      <c r="E98" s="2" t="s">
        <v>11</v>
      </c>
      <c r="F98" s="2" t="s">
        <v>18</v>
      </c>
      <c r="G98" s="2" t="s">
        <v>13</v>
      </c>
      <c r="H98" s="4">
        <v>2454</v>
      </c>
      <c r="I98" s="4">
        <v>2822.9</v>
      </c>
      <c r="J98" s="3">
        <v>0.05</v>
      </c>
      <c r="K98" s="4">
        <v>141.14500000000001</v>
      </c>
    </row>
    <row r="99" spans="1:11" x14ac:dyDescent="0.3">
      <c r="A99">
        <v>98</v>
      </c>
      <c r="B99" s="1">
        <v>45392</v>
      </c>
      <c r="C99">
        <v>2024</v>
      </c>
      <c r="D99" s="2" t="s">
        <v>33</v>
      </c>
      <c r="E99" s="2" t="s">
        <v>8</v>
      </c>
      <c r="F99" s="2" t="s">
        <v>15</v>
      </c>
      <c r="G99" s="2" t="s">
        <v>13</v>
      </c>
      <c r="H99" s="4">
        <v>4953</v>
      </c>
      <c r="I99" s="4">
        <v>3464.83</v>
      </c>
      <c r="J99" s="3">
        <v>0.04</v>
      </c>
      <c r="K99" s="4">
        <v>138.5932</v>
      </c>
    </row>
    <row r="100" spans="1:11" x14ac:dyDescent="0.3">
      <c r="A100">
        <v>99</v>
      </c>
      <c r="B100" s="1">
        <v>45393</v>
      </c>
      <c r="C100">
        <v>2024</v>
      </c>
      <c r="D100" s="2" t="s">
        <v>33</v>
      </c>
      <c r="E100" s="2" t="s">
        <v>8</v>
      </c>
      <c r="F100" s="2" t="s">
        <v>14</v>
      </c>
      <c r="G100" s="2" t="s">
        <v>19</v>
      </c>
      <c r="H100" s="4">
        <v>3708</v>
      </c>
      <c r="I100" s="4">
        <v>4376.29</v>
      </c>
      <c r="J100" s="3">
        <v>0.04</v>
      </c>
      <c r="K100" s="4">
        <v>175.05160000000001</v>
      </c>
    </row>
    <row r="101" spans="1:11" x14ac:dyDescent="0.3">
      <c r="A101">
        <v>100</v>
      </c>
      <c r="B101" s="1">
        <v>45394</v>
      </c>
      <c r="C101">
        <v>2024</v>
      </c>
      <c r="D101" s="2" t="s">
        <v>33</v>
      </c>
      <c r="E101" s="2" t="s">
        <v>8</v>
      </c>
      <c r="F101" s="2" t="s">
        <v>12</v>
      </c>
      <c r="G101" s="2" t="s">
        <v>13</v>
      </c>
      <c r="H101" s="4">
        <v>4969</v>
      </c>
      <c r="I101" s="4">
        <v>2843.25</v>
      </c>
      <c r="J101" s="3">
        <v>0.04</v>
      </c>
      <c r="K101" s="4">
        <v>113.73</v>
      </c>
    </row>
    <row r="102" spans="1:11" x14ac:dyDescent="0.3">
      <c r="A102">
        <v>101</v>
      </c>
      <c r="B102" s="1">
        <v>45395</v>
      </c>
      <c r="C102">
        <v>2024</v>
      </c>
      <c r="D102" s="2" t="s">
        <v>33</v>
      </c>
      <c r="E102" s="2" t="s">
        <v>11</v>
      </c>
      <c r="F102" s="2" t="s">
        <v>18</v>
      </c>
      <c r="G102" s="2" t="s">
        <v>16</v>
      </c>
      <c r="H102" s="4">
        <v>2701</v>
      </c>
      <c r="I102" s="4">
        <v>1433.29</v>
      </c>
      <c r="J102" s="3">
        <v>0.05</v>
      </c>
      <c r="K102" s="4">
        <v>71.664500000000004</v>
      </c>
    </row>
    <row r="103" spans="1:11" x14ac:dyDescent="0.3">
      <c r="A103">
        <v>102</v>
      </c>
      <c r="B103" s="1">
        <v>45396</v>
      </c>
      <c r="C103">
        <v>2024</v>
      </c>
      <c r="D103" s="2" t="s">
        <v>33</v>
      </c>
      <c r="E103" s="2" t="s">
        <v>8</v>
      </c>
      <c r="F103" s="2" t="s">
        <v>14</v>
      </c>
      <c r="G103" s="2" t="s">
        <v>13</v>
      </c>
      <c r="H103" s="4">
        <v>4681</v>
      </c>
      <c r="I103" s="4">
        <v>3546.71</v>
      </c>
      <c r="J103" s="3">
        <v>0.04</v>
      </c>
      <c r="K103" s="4">
        <v>141.86840000000001</v>
      </c>
    </row>
    <row r="104" spans="1:11" x14ac:dyDescent="0.3">
      <c r="A104">
        <v>103</v>
      </c>
      <c r="B104" s="1">
        <v>45397</v>
      </c>
      <c r="C104">
        <v>2024</v>
      </c>
      <c r="D104" s="2" t="s">
        <v>33</v>
      </c>
      <c r="E104" s="2" t="s">
        <v>8</v>
      </c>
      <c r="F104" s="2" t="s">
        <v>20</v>
      </c>
      <c r="G104" s="2" t="s">
        <v>10</v>
      </c>
      <c r="H104" s="4">
        <v>3599</v>
      </c>
      <c r="I104" s="4">
        <v>3464.48</v>
      </c>
      <c r="J104" s="3">
        <v>0.04</v>
      </c>
      <c r="K104" s="4">
        <v>138.57919999999999</v>
      </c>
    </row>
    <row r="105" spans="1:11" x14ac:dyDescent="0.3">
      <c r="A105">
        <v>104</v>
      </c>
      <c r="B105" s="1">
        <v>45398</v>
      </c>
      <c r="C105">
        <v>2024</v>
      </c>
      <c r="D105" s="2" t="s">
        <v>33</v>
      </c>
      <c r="E105" s="2" t="s">
        <v>11</v>
      </c>
      <c r="F105" s="2" t="s">
        <v>18</v>
      </c>
      <c r="G105" s="2" t="s">
        <v>13</v>
      </c>
      <c r="H105" s="4">
        <v>2129</v>
      </c>
      <c r="I105" s="4">
        <v>2913.05</v>
      </c>
      <c r="J105" s="3">
        <v>0.05</v>
      </c>
      <c r="K105" s="4">
        <v>145.6525</v>
      </c>
    </row>
    <row r="106" spans="1:11" x14ac:dyDescent="0.3">
      <c r="A106">
        <v>105</v>
      </c>
      <c r="B106" s="1">
        <v>45399</v>
      </c>
      <c r="C106">
        <v>2024</v>
      </c>
      <c r="D106" s="2" t="s">
        <v>33</v>
      </c>
      <c r="E106" s="2" t="s">
        <v>8</v>
      </c>
      <c r="F106" s="2" t="s">
        <v>21</v>
      </c>
      <c r="G106" s="2" t="s">
        <v>19</v>
      </c>
      <c r="H106" s="4">
        <v>3845</v>
      </c>
      <c r="I106" s="4">
        <v>4718.47</v>
      </c>
      <c r="J106" s="3">
        <v>0.04</v>
      </c>
      <c r="K106" s="4">
        <v>188.7388</v>
      </c>
    </row>
    <row r="107" spans="1:11" x14ac:dyDescent="0.3">
      <c r="A107">
        <v>106</v>
      </c>
      <c r="B107" s="1">
        <v>45400</v>
      </c>
      <c r="C107">
        <v>2024</v>
      </c>
      <c r="D107" s="2" t="s">
        <v>33</v>
      </c>
      <c r="E107" s="2" t="s">
        <v>11</v>
      </c>
      <c r="F107" s="2" t="s">
        <v>20</v>
      </c>
      <c r="G107" s="2" t="s">
        <v>13</v>
      </c>
      <c r="H107" s="4">
        <v>3386</v>
      </c>
      <c r="I107" s="4">
        <v>4207.8</v>
      </c>
      <c r="J107" s="3">
        <v>0.05</v>
      </c>
      <c r="K107" s="4">
        <v>210.39</v>
      </c>
    </row>
    <row r="108" spans="1:11" x14ac:dyDescent="0.3">
      <c r="A108">
        <v>107</v>
      </c>
      <c r="B108" s="1">
        <v>45401</v>
      </c>
      <c r="C108">
        <v>2024</v>
      </c>
      <c r="D108" s="2" t="s">
        <v>33</v>
      </c>
      <c r="E108" s="2" t="s">
        <v>17</v>
      </c>
      <c r="F108" s="2" t="s">
        <v>18</v>
      </c>
      <c r="G108" s="2" t="s">
        <v>10</v>
      </c>
      <c r="H108" s="4">
        <v>4866</v>
      </c>
      <c r="I108" s="4">
        <v>4503.45</v>
      </c>
      <c r="J108" s="3">
        <v>7.0000000000000007E-2</v>
      </c>
      <c r="K108" s="4">
        <v>315.24149999999997</v>
      </c>
    </row>
    <row r="109" spans="1:11" x14ac:dyDescent="0.3">
      <c r="A109">
        <v>108</v>
      </c>
      <c r="B109" s="1">
        <v>45402</v>
      </c>
      <c r="C109">
        <v>2024</v>
      </c>
      <c r="D109" s="2" t="s">
        <v>33</v>
      </c>
      <c r="E109" s="2" t="s">
        <v>8</v>
      </c>
      <c r="F109" s="2" t="s">
        <v>12</v>
      </c>
      <c r="G109" s="2" t="s">
        <v>10</v>
      </c>
      <c r="H109" s="4">
        <v>2692</v>
      </c>
      <c r="I109" s="4">
        <v>2277.2600000000002</v>
      </c>
      <c r="J109" s="3">
        <v>0.04</v>
      </c>
      <c r="K109" s="4">
        <v>91.090400000000002</v>
      </c>
    </row>
    <row r="110" spans="1:11" x14ac:dyDescent="0.3">
      <c r="A110">
        <v>109</v>
      </c>
      <c r="B110" s="1">
        <v>45403</v>
      </c>
      <c r="C110">
        <v>2024</v>
      </c>
      <c r="D110" s="2" t="s">
        <v>33</v>
      </c>
      <c r="E110" s="2" t="s">
        <v>17</v>
      </c>
      <c r="F110" s="2" t="s">
        <v>9</v>
      </c>
      <c r="G110" s="2" t="s">
        <v>16</v>
      </c>
      <c r="H110" s="4">
        <v>3394</v>
      </c>
      <c r="I110" s="4">
        <v>2956.31</v>
      </c>
      <c r="J110" s="3">
        <v>7.0000000000000007E-2</v>
      </c>
      <c r="K110" s="4">
        <v>206.9417</v>
      </c>
    </row>
    <row r="111" spans="1:11" x14ac:dyDescent="0.3">
      <c r="A111">
        <v>110</v>
      </c>
      <c r="B111" s="1">
        <v>45404</v>
      </c>
      <c r="C111">
        <v>2024</v>
      </c>
      <c r="D111" s="2" t="s">
        <v>33</v>
      </c>
      <c r="E111" s="2" t="s">
        <v>11</v>
      </c>
      <c r="F111" s="2" t="s">
        <v>20</v>
      </c>
      <c r="G111" s="2" t="s">
        <v>13</v>
      </c>
      <c r="H111" s="4">
        <v>2793</v>
      </c>
      <c r="I111" s="4">
        <v>4155.01</v>
      </c>
      <c r="J111" s="3">
        <v>0.05</v>
      </c>
      <c r="K111" s="4">
        <v>207.75049999999999</v>
      </c>
    </row>
    <row r="112" spans="1:11" x14ac:dyDescent="0.3">
      <c r="A112">
        <v>111</v>
      </c>
      <c r="B112" s="1">
        <v>45405</v>
      </c>
      <c r="C112">
        <v>2024</v>
      </c>
      <c r="D112" s="2" t="s">
        <v>33</v>
      </c>
      <c r="E112" s="2" t="s">
        <v>8</v>
      </c>
      <c r="F112" s="2" t="s">
        <v>15</v>
      </c>
      <c r="G112" s="2" t="s">
        <v>10</v>
      </c>
      <c r="H112" s="4">
        <v>2028</v>
      </c>
      <c r="I112" s="4">
        <v>1095.3399999999999</v>
      </c>
      <c r="J112" s="3">
        <v>0.04</v>
      </c>
      <c r="K112" s="4">
        <v>43.813600000000001</v>
      </c>
    </row>
    <row r="113" spans="1:11" x14ac:dyDescent="0.3">
      <c r="A113">
        <v>112</v>
      </c>
      <c r="B113" s="1">
        <v>45406</v>
      </c>
      <c r="C113">
        <v>2024</v>
      </c>
      <c r="D113" s="2" t="s">
        <v>33</v>
      </c>
      <c r="E113" s="2" t="s">
        <v>11</v>
      </c>
      <c r="F113" s="2" t="s">
        <v>15</v>
      </c>
      <c r="G113" s="2" t="s">
        <v>19</v>
      </c>
      <c r="H113" s="4">
        <v>2148</v>
      </c>
      <c r="I113" s="4">
        <v>2936.38</v>
      </c>
      <c r="J113" s="3">
        <v>0.05</v>
      </c>
      <c r="K113" s="4">
        <v>146.81899999999999</v>
      </c>
    </row>
    <row r="114" spans="1:11" x14ac:dyDescent="0.3">
      <c r="A114">
        <v>113</v>
      </c>
      <c r="B114" s="1">
        <v>45407</v>
      </c>
      <c r="C114">
        <v>2024</v>
      </c>
      <c r="D114" s="2" t="s">
        <v>33</v>
      </c>
      <c r="E114" s="2" t="s">
        <v>17</v>
      </c>
      <c r="F114" s="2" t="s">
        <v>12</v>
      </c>
      <c r="G114" s="2" t="s">
        <v>16</v>
      </c>
      <c r="H114" s="4">
        <v>3319</v>
      </c>
      <c r="I114" s="4">
        <v>3580.12</v>
      </c>
      <c r="J114" s="3">
        <v>7.0000000000000007E-2</v>
      </c>
      <c r="K114" s="4">
        <v>250.60839999999999</v>
      </c>
    </row>
    <row r="115" spans="1:11" x14ac:dyDescent="0.3">
      <c r="A115">
        <v>114</v>
      </c>
      <c r="B115" s="1">
        <v>45408</v>
      </c>
      <c r="C115">
        <v>2024</v>
      </c>
      <c r="D115" s="2" t="s">
        <v>33</v>
      </c>
      <c r="E115" s="2" t="s">
        <v>11</v>
      </c>
      <c r="F115" s="2" t="s">
        <v>18</v>
      </c>
      <c r="G115" s="2" t="s">
        <v>19</v>
      </c>
      <c r="H115" s="4">
        <v>4058</v>
      </c>
      <c r="I115" s="4">
        <v>3808.9</v>
      </c>
      <c r="J115" s="3">
        <v>0.05</v>
      </c>
      <c r="K115" s="4">
        <v>190.44499999999999</v>
      </c>
    </row>
    <row r="116" spans="1:11" x14ac:dyDescent="0.3">
      <c r="A116">
        <v>115</v>
      </c>
      <c r="B116" s="1">
        <v>45409</v>
      </c>
      <c r="C116">
        <v>2024</v>
      </c>
      <c r="D116" s="2" t="s">
        <v>33</v>
      </c>
      <c r="E116" s="2" t="s">
        <v>8</v>
      </c>
      <c r="F116" s="2" t="s">
        <v>14</v>
      </c>
      <c r="G116" s="2" t="s">
        <v>13</v>
      </c>
      <c r="H116" s="4">
        <v>4723</v>
      </c>
      <c r="I116" s="4">
        <v>5786.89</v>
      </c>
      <c r="J116" s="3">
        <v>0.04</v>
      </c>
      <c r="K116" s="4">
        <v>231.47559999999999</v>
      </c>
    </row>
    <row r="117" spans="1:11" x14ac:dyDescent="0.3">
      <c r="A117">
        <v>116</v>
      </c>
      <c r="B117" s="1">
        <v>45410</v>
      </c>
      <c r="C117">
        <v>2024</v>
      </c>
      <c r="D117" s="2" t="s">
        <v>33</v>
      </c>
      <c r="E117" s="2" t="s">
        <v>8</v>
      </c>
      <c r="F117" s="2" t="s">
        <v>18</v>
      </c>
      <c r="G117" s="2" t="s">
        <v>13</v>
      </c>
      <c r="H117" s="4">
        <v>3136</v>
      </c>
      <c r="I117" s="4">
        <v>3094.19</v>
      </c>
      <c r="J117" s="3">
        <v>0.04</v>
      </c>
      <c r="K117" s="4">
        <v>123.7676</v>
      </c>
    </row>
    <row r="118" spans="1:11" x14ac:dyDescent="0.3">
      <c r="A118">
        <v>117</v>
      </c>
      <c r="B118" s="1">
        <v>45411</v>
      </c>
      <c r="C118">
        <v>2024</v>
      </c>
      <c r="D118" s="2" t="s">
        <v>33</v>
      </c>
      <c r="E118" s="2" t="s">
        <v>17</v>
      </c>
      <c r="F118" s="2" t="s">
        <v>12</v>
      </c>
      <c r="G118" s="2" t="s">
        <v>13</v>
      </c>
      <c r="H118" s="4">
        <v>2186</v>
      </c>
      <c r="I118" s="4">
        <v>3002.3</v>
      </c>
      <c r="J118" s="3">
        <v>7.0000000000000007E-2</v>
      </c>
      <c r="K118" s="4">
        <v>210.161</v>
      </c>
    </row>
    <row r="119" spans="1:11" x14ac:dyDescent="0.3">
      <c r="A119">
        <v>118</v>
      </c>
      <c r="B119" s="1">
        <v>45412</v>
      </c>
      <c r="C119">
        <v>2024</v>
      </c>
      <c r="D119" s="2" t="s">
        <v>33</v>
      </c>
      <c r="E119" s="2" t="s">
        <v>11</v>
      </c>
      <c r="F119" s="2" t="s">
        <v>15</v>
      </c>
      <c r="G119" s="2" t="s">
        <v>16</v>
      </c>
      <c r="H119" s="4">
        <v>4854</v>
      </c>
      <c r="I119" s="4">
        <v>6799.01</v>
      </c>
      <c r="J119" s="3">
        <v>0.05</v>
      </c>
      <c r="K119" s="4">
        <v>339.95049999999998</v>
      </c>
    </row>
    <row r="120" spans="1:11" x14ac:dyDescent="0.3">
      <c r="A120">
        <v>119</v>
      </c>
      <c r="B120" s="1">
        <v>45413</v>
      </c>
      <c r="C120">
        <v>2024</v>
      </c>
      <c r="D120" s="2" t="s">
        <v>34</v>
      </c>
      <c r="E120" s="2" t="s">
        <v>8</v>
      </c>
      <c r="F120" s="2" t="s">
        <v>18</v>
      </c>
      <c r="G120" s="2" t="s">
        <v>10</v>
      </c>
      <c r="H120" s="4">
        <v>4791</v>
      </c>
      <c r="I120" s="4">
        <v>4415.96</v>
      </c>
      <c r="J120" s="3">
        <v>0.04</v>
      </c>
      <c r="K120" s="4">
        <v>176.63839999999999</v>
      </c>
    </row>
    <row r="121" spans="1:11" x14ac:dyDescent="0.3">
      <c r="A121">
        <v>120</v>
      </c>
      <c r="B121" s="1">
        <v>45414</v>
      </c>
      <c r="C121">
        <v>2024</v>
      </c>
      <c r="D121" s="2" t="s">
        <v>34</v>
      </c>
      <c r="E121" s="2" t="s">
        <v>17</v>
      </c>
      <c r="F121" s="2" t="s">
        <v>15</v>
      </c>
      <c r="G121" s="2" t="s">
        <v>16</v>
      </c>
      <c r="H121" s="4">
        <v>3250</v>
      </c>
      <c r="I121" s="4">
        <v>2524.69</v>
      </c>
      <c r="J121" s="3">
        <v>7.0000000000000007E-2</v>
      </c>
      <c r="K121" s="4">
        <v>176.72829999999999</v>
      </c>
    </row>
    <row r="122" spans="1:11" x14ac:dyDescent="0.3">
      <c r="A122">
        <v>121</v>
      </c>
      <c r="B122" s="1">
        <v>45415</v>
      </c>
      <c r="C122">
        <v>2024</v>
      </c>
      <c r="D122" s="2" t="s">
        <v>34</v>
      </c>
      <c r="E122" s="2" t="s">
        <v>8</v>
      </c>
      <c r="F122" s="2" t="s">
        <v>20</v>
      </c>
      <c r="G122" s="2" t="s">
        <v>19</v>
      </c>
      <c r="H122" s="4">
        <v>3333</v>
      </c>
      <c r="I122" s="4">
        <v>3640.8</v>
      </c>
      <c r="J122" s="3">
        <v>0.04</v>
      </c>
      <c r="K122" s="4">
        <v>145.63200000000001</v>
      </c>
    </row>
    <row r="123" spans="1:11" x14ac:dyDescent="0.3">
      <c r="A123">
        <v>122</v>
      </c>
      <c r="B123" s="1">
        <v>45416</v>
      </c>
      <c r="C123">
        <v>2024</v>
      </c>
      <c r="D123" s="2" t="s">
        <v>34</v>
      </c>
      <c r="E123" s="2" t="s">
        <v>8</v>
      </c>
      <c r="F123" s="2" t="s">
        <v>14</v>
      </c>
      <c r="G123" s="2" t="s">
        <v>16</v>
      </c>
      <c r="H123" s="4">
        <v>2097</v>
      </c>
      <c r="I123" s="4">
        <v>2961.73</v>
      </c>
      <c r="J123" s="3">
        <v>0.04</v>
      </c>
      <c r="K123" s="4">
        <v>118.4692</v>
      </c>
    </row>
    <row r="124" spans="1:11" x14ac:dyDescent="0.3">
      <c r="A124">
        <v>123</v>
      </c>
      <c r="B124" s="1">
        <v>45417</v>
      </c>
      <c r="C124">
        <v>2024</v>
      </c>
      <c r="D124" s="2" t="s">
        <v>34</v>
      </c>
      <c r="E124" s="2" t="s">
        <v>11</v>
      </c>
      <c r="F124" s="2" t="s">
        <v>20</v>
      </c>
      <c r="G124" s="2" t="s">
        <v>19</v>
      </c>
      <c r="H124" s="4">
        <v>2054</v>
      </c>
      <c r="I124" s="4">
        <v>1459.7</v>
      </c>
      <c r="J124" s="3">
        <v>0.05</v>
      </c>
      <c r="K124" s="4">
        <v>72.984999999999999</v>
      </c>
    </row>
    <row r="125" spans="1:11" x14ac:dyDescent="0.3">
      <c r="A125">
        <v>124</v>
      </c>
      <c r="B125" s="1">
        <v>45418</v>
      </c>
      <c r="C125">
        <v>2024</v>
      </c>
      <c r="D125" s="2" t="s">
        <v>34</v>
      </c>
      <c r="E125" s="2" t="s">
        <v>8</v>
      </c>
      <c r="F125" s="2" t="s">
        <v>15</v>
      </c>
      <c r="G125" s="2" t="s">
        <v>16</v>
      </c>
      <c r="H125" s="4">
        <v>4670</v>
      </c>
      <c r="I125" s="4">
        <v>5244.25</v>
      </c>
      <c r="J125" s="3">
        <v>0.04</v>
      </c>
      <c r="K125" s="4">
        <v>209.77</v>
      </c>
    </row>
    <row r="126" spans="1:11" x14ac:dyDescent="0.3">
      <c r="A126">
        <v>125</v>
      </c>
      <c r="B126" s="1">
        <v>45419</v>
      </c>
      <c r="C126">
        <v>2024</v>
      </c>
      <c r="D126" s="2" t="s">
        <v>34</v>
      </c>
      <c r="E126" s="2" t="s">
        <v>11</v>
      </c>
      <c r="F126" s="2" t="s">
        <v>15</v>
      </c>
      <c r="G126" s="2" t="s">
        <v>10</v>
      </c>
      <c r="H126" s="4">
        <v>4711</v>
      </c>
      <c r="I126" s="4">
        <v>5330.78</v>
      </c>
      <c r="J126" s="3">
        <v>0.05</v>
      </c>
      <c r="K126" s="4">
        <v>266.53899999999999</v>
      </c>
    </row>
    <row r="127" spans="1:11" x14ac:dyDescent="0.3">
      <c r="A127">
        <v>126</v>
      </c>
      <c r="B127" s="1">
        <v>45420</v>
      </c>
      <c r="C127">
        <v>2024</v>
      </c>
      <c r="D127" s="2" t="s">
        <v>34</v>
      </c>
      <c r="E127" s="2" t="s">
        <v>8</v>
      </c>
      <c r="F127" s="2" t="s">
        <v>9</v>
      </c>
      <c r="G127" s="2" t="s">
        <v>19</v>
      </c>
      <c r="H127" s="4">
        <v>2757</v>
      </c>
      <c r="I127" s="4">
        <v>3399.69</v>
      </c>
      <c r="J127" s="3">
        <v>0.04</v>
      </c>
      <c r="K127" s="4">
        <v>135.98759999999999</v>
      </c>
    </row>
    <row r="128" spans="1:11" x14ac:dyDescent="0.3">
      <c r="A128">
        <v>127</v>
      </c>
      <c r="B128" s="1">
        <v>45421</v>
      </c>
      <c r="C128">
        <v>2024</v>
      </c>
      <c r="D128" s="2" t="s">
        <v>34</v>
      </c>
      <c r="E128" s="2" t="s">
        <v>17</v>
      </c>
      <c r="F128" s="2" t="s">
        <v>9</v>
      </c>
      <c r="G128" s="2" t="s">
        <v>13</v>
      </c>
      <c r="H128" s="4">
        <v>2405</v>
      </c>
      <c r="I128" s="4">
        <v>1518.92</v>
      </c>
      <c r="J128" s="3">
        <v>7.0000000000000007E-2</v>
      </c>
      <c r="K128" s="4">
        <v>106.3244</v>
      </c>
    </row>
    <row r="129" spans="1:11" x14ac:dyDescent="0.3">
      <c r="A129">
        <v>128</v>
      </c>
      <c r="B129" s="1">
        <v>45423</v>
      </c>
      <c r="C129">
        <v>2024</v>
      </c>
      <c r="D129" s="2" t="s">
        <v>34</v>
      </c>
      <c r="E129" s="2" t="s">
        <v>11</v>
      </c>
      <c r="F129" s="2" t="s">
        <v>21</v>
      </c>
      <c r="G129" s="2" t="s">
        <v>16</v>
      </c>
      <c r="H129" s="4">
        <v>3312</v>
      </c>
      <c r="I129" s="4">
        <v>4666.72</v>
      </c>
      <c r="J129" s="3">
        <v>0.05</v>
      </c>
      <c r="K129" s="4">
        <v>233.33600000000001</v>
      </c>
    </row>
    <row r="130" spans="1:11" x14ac:dyDescent="0.3">
      <c r="A130">
        <v>129</v>
      </c>
      <c r="B130" s="1">
        <v>45424</v>
      </c>
      <c r="C130">
        <v>2024</v>
      </c>
      <c r="D130" s="2" t="s">
        <v>34</v>
      </c>
      <c r="E130" s="2" t="s">
        <v>11</v>
      </c>
      <c r="F130" s="2" t="s">
        <v>20</v>
      </c>
      <c r="G130" s="2" t="s">
        <v>13</v>
      </c>
      <c r="H130" s="4">
        <v>3785</v>
      </c>
      <c r="I130" s="4">
        <v>2572.6</v>
      </c>
      <c r="J130" s="3">
        <v>0.05</v>
      </c>
      <c r="K130" s="4">
        <v>128.63</v>
      </c>
    </row>
    <row r="131" spans="1:11" x14ac:dyDescent="0.3">
      <c r="A131">
        <v>130</v>
      </c>
      <c r="B131" s="1">
        <v>45425</v>
      </c>
      <c r="C131">
        <v>2024</v>
      </c>
      <c r="D131" s="2" t="s">
        <v>34</v>
      </c>
      <c r="E131" s="2" t="s">
        <v>17</v>
      </c>
      <c r="F131" s="2" t="s">
        <v>9</v>
      </c>
      <c r="G131" s="2" t="s">
        <v>19</v>
      </c>
      <c r="H131" s="4">
        <v>2750</v>
      </c>
      <c r="I131" s="4">
        <v>2028.24</v>
      </c>
      <c r="J131" s="3">
        <v>7.0000000000000007E-2</v>
      </c>
      <c r="K131" s="4">
        <v>141.9768</v>
      </c>
    </row>
    <row r="132" spans="1:11" x14ac:dyDescent="0.3">
      <c r="A132">
        <v>131</v>
      </c>
      <c r="B132" s="1">
        <v>45426</v>
      </c>
      <c r="C132">
        <v>2024</v>
      </c>
      <c r="D132" s="2" t="s">
        <v>34</v>
      </c>
      <c r="E132" s="2" t="s">
        <v>8</v>
      </c>
      <c r="F132" s="2" t="s">
        <v>15</v>
      </c>
      <c r="G132" s="2" t="s">
        <v>13</v>
      </c>
      <c r="H132" s="4">
        <v>3762</v>
      </c>
      <c r="I132" s="4">
        <v>5535.39</v>
      </c>
      <c r="J132" s="3">
        <v>0.04</v>
      </c>
      <c r="K132" s="4">
        <v>221.41560000000001</v>
      </c>
    </row>
    <row r="133" spans="1:11" x14ac:dyDescent="0.3">
      <c r="A133">
        <v>132</v>
      </c>
      <c r="B133" s="1">
        <v>45427</v>
      </c>
      <c r="C133">
        <v>2024</v>
      </c>
      <c r="D133" s="2" t="s">
        <v>34</v>
      </c>
      <c r="E133" s="2" t="s">
        <v>8</v>
      </c>
      <c r="F133" s="2" t="s">
        <v>12</v>
      </c>
      <c r="G133" s="2" t="s">
        <v>10</v>
      </c>
      <c r="H133" s="4">
        <v>2364</v>
      </c>
      <c r="I133" s="4">
        <v>1609.83</v>
      </c>
      <c r="J133" s="3">
        <v>0.04</v>
      </c>
      <c r="K133" s="4">
        <v>64.393199999999993</v>
      </c>
    </row>
    <row r="134" spans="1:11" x14ac:dyDescent="0.3">
      <c r="A134">
        <v>133</v>
      </c>
      <c r="B134" s="1">
        <v>45428</v>
      </c>
      <c r="C134">
        <v>2024</v>
      </c>
      <c r="D134" s="2" t="s">
        <v>34</v>
      </c>
      <c r="E134" s="2" t="s">
        <v>17</v>
      </c>
      <c r="F134" s="2" t="s">
        <v>20</v>
      </c>
      <c r="G134" s="2" t="s">
        <v>10</v>
      </c>
      <c r="H134" s="4">
        <v>4026</v>
      </c>
      <c r="I134" s="4">
        <v>5452.75</v>
      </c>
      <c r="J134" s="3">
        <v>7.0000000000000007E-2</v>
      </c>
      <c r="K134" s="4">
        <v>381.6925</v>
      </c>
    </row>
    <row r="135" spans="1:11" x14ac:dyDescent="0.3">
      <c r="A135">
        <v>134</v>
      </c>
      <c r="B135" s="1">
        <v>45429</v>
      </c>
      <c r="C135">
        <v>2024</v>
      </c>
      <c r="D135" s="2" t="s">
        <v>34</v>
      </c>
      <c r="E135" s="2" t="s">
        <v>8</v>
      </c>
      <c r="F135" s="2" t="s">
        <v>15</v>
      </c>
      <c r="G135" s="2" t="s">
        <v>16</v>
      </c>
      <c r="H135" s="4">
        <v>2481</v>
      </c>
      <c r="I135" s="4">
        <v>2461.84</v>
      </c>
      <c r="J135" s="3">
        <v>0.04</v>
      </c>
      <c r="K135" s="4">
        <v>98.473600000000005</v>
      </c>
    </row>
    <row r="136" spans="1:11" x14ac:dyDescent="0.3">
      <c r="A136">
        <v>135</v>
      </c>
      <c r="B136" s="1">
        <v>45430</v>
      </c>
      <c r="C136">
        <v>2024</v>
      </c>
      <c r="D136" s="2" t="s">
        <v>34</v>
      </c>
      <c r="E136" s="2" t="s">
        <v>8</v>
      </c>
      <c r="F136" s="2" t="s">
        <v>12</v>
      </c>
      <c r="G136" s="2" t="s">
        <v>19</v>
      </c>
      <c r="H136" s="4">
        <v>4248</v>
      </c>
      <c r="I136" s="4">
        <v>3174.24</v>
      </c>
      <c r="J136" s="3">
        <v>0.04</v>
      </c>
      <c r="K136" s="4">
        <v>126.9696</v>
      </c>
    </row>
    <row r="137" spans="1:11" x14ac:dyDescent="0.3">
      <c r="A137">
        <v>136</v>
      </c>
      <c r="B137" s="1">
        <v>45431</v>
      </c>
      <c r="C137">
        <v>2024</v>
      </c>
      <c r="D137" s="2" t="s">
        <v>34</v>
      </c>
      <c r="E137" s="2" t="s">
        <v>11</v>
      </c>
      <c r="F137" s="2" t="s">
        <v>12</v>
      </c>
      <c r="G137" s="2" t="s">
        <v>10</v>
      </c>
      <c r="H137" s="4">
        <v>2153</v>
      </c>
      <c r="I137" s="4">
        <v>2951.22</v>
      </c>
      <c r="J137" s="3">
        <v>0.05</v>
      </c>
      <c r="K137" s="4">
        <v>147.56100000000001</v>
      </c>
    </row>
    <row r="138" spans="1:11" x14ac:dyDescent="0.3">
      <c r="A138">
        <v>137</v>
      </c>
      <c r="B138" s="1">
        <v>45432</v>
      </c>
      <c r="C138">
        <v>2024</v>
      </c>
      <c r="D138" s="2" t="s">
        <v>34</v>
      </c>
      <c r="E138" s="2" t="s">
        <v>8</v>
      </c>
      <c r="F138" s="2" t="s">
        <v>9</v>
      </c>
      <c r="G138" s="2" t="s">
        <v>10</v>
      </c>
      <c r="H138" s="4">
        <v>3524</v>
      </c>
      <c r="I138" s="4">
        <v>3331.26</v>
      </c>
      <c r="J138" s="3">
        <v>0.04</v>
      </c>
      <c r="K138" s="4">
        <v>133.25040000000001</v>
      </c>
    </row>
    <row r="139" spans="1:11" x14ac:dyDescent="0.3">
      <c r="A139">
        <v>138</v>
      </c>
      <c r="B139" s="1">
        <v>45433</v>
      </c>
      <c r="C139">
        <v>2024</v>
      </c>
      <c r="D139" s="2" t="s">
        <v>34</v>
      </c>
      <c r="E139" s="2" t="s">
        <v>8</v>
      </c>
      <c r="F139" s="2" t="s">
        <v>20</v>
      </c>
      <c r="G139" s="2" t="s">
        <v>19</v>
      </c>
      <c r="H139" s="4">
        <v>4120</v>
      </c>
      <c r="I139" s="4">
        <v>4181.05</v>
      </c>
      <c r="J139" s="3">
        <v>0.04</v>
      </c>
      <c r="K139" s="4">
        <v>167.24199999999999</v>
      </c>
    </row>
    <row r="140" spans="1:11" x14ac:dyDescent="0.3">
      <c r="A140">
        <v>139</v>
      </c>
      <c r="B140" s="1">
        <v>45434</v>
      </c>
      <c r="C140">
        <v>2024</v>
      </c>
      <c r="D140" s="2" t="s">
        <v>34</v>
      </c>
      <c r="E140" s="2" t="s">
        <v>17</v>
      </c>
      <c r="F140" s="2" t="s">
        <v>18</v>
      </c>
      <c r="G140" s="2" t="s">
        <v>13</v>
      </c>
      <c r="H140" s="4">
        <v>4760</v>
      </c>
      <c r="I140" s="4">
        <v>4089.95</v>
      </c>
      <c r="J140" s="3">
        <v>7.0000000000000007E-2</v>
      </c>
      <c r="K140" s="4">
        <v>286.29649999999998</v>
      </c>
    </row>
    <row r="141" spans="1:11" x14ac:dyDescent="0.3">
      <c r="A141">
        <v>140</v>
      </c>
      <c r="B141" s="1">
        <v>45435</v>
      </c>
      <c r="C141">
        <v>2024</v>
      </c>
      <c r="D141" s="2" t="s">
        <v>34</v>
      </c>
      <c r="E141" s="2" t="s">
        <v>17</v>
      </c>
      <c r="F141" s="2" t="s">
        <v>14</v>
      </c>
      <c r="G141" s="2" t="s">
        <v>13</v>
      </c>
      <c r="H141" s="4">
        <v>4343</v>
      </c>
      <c r="I141" s="4">
        <v>4746.6899999999996</v>
      </c>
      <c r="J141" s="3">
        <v>7.0000000000000007E-2</v>
      </c>
      <c r="K141" s="4">
        <v>332.26830000000001</v>
      </c>
    </row>
    <row r="142" spans="1:11" x14ac:dyDescent="0.3">
      <c r="A142">
        <v>141</v>
      </c>
      <c r="B142" s="1">
        <v>45436</v>
      </c>
      <c r="C142">
        <v>2024</v>
      </c>
      <c r="D142" s="2" t="s">
        <v>34</v>
      </c>
      <c r="E142" s="2" t="s">
        <v>11</v>
      </c>
      <c r="F142" s="2" t="s">
        <v>9</v>
      </c>
      <c r="G142" s="2" t="s">
        <v>16</v>
      </c>
      <c r="H142" s="4">
        <v>3040</v>
      </c>
      <c r="I142" s="4">
        <v>2017.11</v>
      </c>
      <c r="J142" s="3">
        <v>0.05</v>
      </c>
      <c r="K142" s="4">
        <v>100.85550000000001</v>
      </c>
    </row>
    <row r="143" spans="1:11" x14ac:dyDescent="0.3">
      <c r="A143">
        <v>142</v>
      </c>
      <c r="B143" s="1">
        <v>45437</v>
      </c>
      <c r="C143">
        <v>2024</v>
      </c>
      <c r="D143" s="2" t="s">
        <v>34</v>
      </c>
      <c r="E143" s="2" t="s">
        <v>8</v>
      </c>
      <c r="F143" s="2" t="s">
        <v>9</v>
      </c>
      <c r="G143" s="2" t="s">
        <v>13</v>
      </c>
      <c r="H143" s="4">
        <v>3664</v>
      </c>
      <c r="I143" s="4">
        <v>3264.92</v>
      </c>
      <c r="J143" s="3">
        <v>0.04</v>
      </c>
      <c r="K143" s="4">
        <v>130.5968</v>
      </c>
    </row>
    <row r="144" spans="1:11" x14ac:dyDescent="0.3">
      <c r="A144">
        <v>143</v>
      </c>
      <c r="B144" s="1">
        <v>45438</v>
      </c>
      <c r="C144">
        <v>2024</v>
      </c>
      <c r="D144" s="2" t="s">
        <v>34</v>
      </c>
      <c r="E144" s="2" t="s">
        <v>8</v>
      </c>
      <c r="F144" s="2" t="s">
        <v>18</v>
      </c>
      <c r="G144" s="2" t="s">
        <v>19</v>
      </c>
      <c r="H144" s="4">
        <v>3240</v>
      </c>
      <c r="I144" s="4">
        <v>4760.8999999999996</v>
      </c>
      <c r="J144" s="3">
        <v>0.04</v>
      </c>
      <c r="K144" s="4">
        <v>190.43600000000001</v>
      </c>
    </row>
    <row r="145" spans="1:11" x14ac:dyDescent="0.3">
      <c r="A145">
        <v>144</v>
      </c>
      <c r="B145" s="1">
        <v>45439</v>
      </c>
      <c r="C145">
        <v>2024</v>
      </c>
      <c r="D145" s="2" t="s">
        <v>34</v>
      </c>
      <c r="E145" s="2" t="s">
        <v>8</v>
      </c>
      <c r="F145" s="2" t="s">
        <v>14</v>
      </c>
      <c r="G145" s="2" t="s">
        <v>10</v>
      </c>
      <c r="H145" s="4">
        <v>2060</v>
      </c>
      <c r="I145" s="4">
        <v>1561.75</v>
      </c>
      <c r="J145" s="3">
        <v>0.04</v>
      </c>
      <c r="K145" s="4">
        <v>62.47</v>
      </c>
    </row>
    <row r="146" spans="1:11" x14ac:dyDescent="0.3">
      <c r="A146">
        <v>145</v>
      </c>
      <c r="B146" s="1">
        <v>45440</v>
      </c>
      <c r="C146">
        <v>2024</v>
      </c>
      <c r="D146" s="2" t="s">
        <v>34</v>
      </c>
      <c r="E146" s="2" t="s">
        <v>11</v>
      </c>
      <c r="F146" s="2" t="s">
        <v>15</v>
      </c>
      <c r="G146" s="2" t="s">
        <v>13</v>
      </c>
      <c r="H146" s="4">
        <v>2938</v>
      </c>
      <c r="I146" s="4">
        <v>3398.49</v>
      </c>
      <c r="J146" s="3">
        <v>0.05</v>
      </c>
      <c r="K146" s="4">
        <v>169.92449999999999</v>
      </c>
    </row>
    <row r="147" spans="1:11" x14ac:dyDescent="0.3">
      <c r="A147">
        <v>146</v>
      </c>
      <c r="B147" s="1">
        <v>45441</v>
      </c>
      <c r="C147">
        <v>2024</v>
      </c>
      <c r="D147" s="2" t="s">
        <v>34</v>
      </c>
      <c r="E147" s="2" t="s">
        <v>11</v>
      </c>
      <c r="F147" s="2" t="s">
        <v>21</v>
      </c>
      <c r="G147" s="2" t="s">
        <v>16</v>
      </c>
      <c r="H147" s="4">
        <v>3639</v>
      </c>
      <c r="I147" s="4">
        <v>3002.87</v>
      </c>
      <c r="J147" s="3">
        <v>0.05</v>
      </c>
      <c r="K147" s="4">
        <v>150.14349999999999</v>
      </c>
    </row>
    <row r="148" spans="1:11" x14ac:dyDescent="0.3">
      <c r="A148">
        <v>147</v>
      </c>
      <c r="B148" s="1">
        <v>45442</v>
      </c>
      <c r="C148">
        <v>2024</v>
      </c>
      <c r="D148" s="2" t="s">
        <v>34</v>
      </c>
      <c r="E148" s="2" t="s">
        <v>17</v>
      </c>
      <c r="F148" s="2" t="s">
        <v>20</v>
      </c>
      <c r="G148" s="2" t="s">
        <v>13</v>
      </c>
      <c r="H148" s="4">
        <v>4089</v>
      </c>
      <c r="I148" s="4">
        <v>5207.2299999999996</v>
      </c>
      <c r="J148" s="3">
        <v>7.0000000000000007E-2</v>
      </c>
      <c r="K148" s="4">
        <v>364.5061</v>
      </c>
    </row>
    <row r="149" spans="1:11" x14ac:dyDescent="0.3">
      <c r="A149">
        <v>148</v>
      </c>
      <c r="B149" s="1">
        <v>45443</v>
      </c>
      <c r="C149">
        <v>2024</v>
      </c>
      <c r="D149" s="2" t="s">
        <v>34</v>
      </c>
      <c r="E149" s="2" t="s">
        <v>11</v>
      </c>
      <c r="F149" s="2" t="s">
        <v>21</v>
      </c>
      <c r="G149" s="2" t="s">
        <v>19</v>
      </c>
      <c r="H149" s="4">
        <v>2024</v>
      </c>
      <c r="I149" s="4">
        <v>1276.8900000000001</v>
      </c>
      <c r="J149" s="3">
        <v>0.05</v>
      </c>
      <c r="K149" s="4">
        <v>63.844499999999996</v>
      </c>
    </row>
    <row r="150" spans="1:11" x14ac:dyDescent="0.3">
      <c r="A150">
        <v>149</v>
      </c>
      <c r="B150" s="1">
        <v>45444</v>
      </c>
      <c r="C150">
        <v>2024</v>
      </c>
      <c r="D150" s="2" t="s">
        <v>35</v>
      </c>
      <c r="E150" s="2" t="s">
        <v>8</v>
      </c>
      <c r="F150" s="2" t="s">
        <v>15</v>
      </c>
      <c r="G150" s="2" t="s">
        <v>16</v>
      </c>
      <c r="H150" s="4">
        <v>3062</v>
      </c>
      <c r="I150" s="4">
        <v>4500.59</v>
      </c>
      <c r="J150" s="3">
        <v>0.04</v>
      </c>
      <c r="K150" s="4">
        <v>180.02359999999999</v>
      </c>
    </row>
    <row r="151" spans="1:11" x14ac:dyDescent="0.3">
      <c r="A151">
        <v>150</v>
      </c>
      <c r="B151" s="1">
        <v>45445</v>
      </c>
      <c r="C151">
        <v>2024</v>
      </c>
      <c r="D151" s="2" t="s">
        <v>35</v>
      </c>
      <c r="E151" s="2" t="s">
        <v>8</v>
      </c>
      <c r="F151" s="2" t="s">
        <v>9</v>
      </c>
      <c r="G151" s="2" t="s">
        <v>13</v>
      </c>
      <c r="H151" s="4">
        <v>2130</v>
      </c>
      <c r="I151" s="4">
        <v>2031.57</v>
      </c>
      <c r="J151" s="3">
        <v>0.04</v>
      </c>
      <c r="K151" s="4">
        <v>81.262799999999999</v>
      </c>
    </row>
    <row r="152" spans="1:11" x14ac:dyDescent="0.3">
      <c r="A152">
        <v>151</v>
      </c>
      <c r="B152" s="1">
        <v>45447</v>
      </c>
      <c r="C152">
        <v>2024</v>
      </c>
      <c r="D152" s="2" t="s">
        <v>35</v>
      </c>
      <c r="E152" s="2" t="s">
        <v>8</v>
      </c>
      <c r="F152" s="2" t="s">
        <v>9</v>
      </c>
      <c r="G152" s="2" t="s">
        <v>19</v>
      </c>
      <c r="H152" s="4">
        <v>2107</v>
      </c>
      <c r="I152" s="4">
        <v>1208.3599999999999</v>
      </c>
      <c r="J152" s="3">
        <v>0.04</v>
      </c>
      <c r="K152" s="4">
        <v>48.334400000000002</v>
      </c>
    </row>
    <row r="153" spans="1:11" x14ac:dyDescent="0.3">
      <c r="A153">
        <v>152</v>
      </c>
      <c r="B153" s="1">
        <v>45448</v>
      </c>
      <c r="C153">
        <v>2024</v>
      </c>
      <c r="D153" s="2" t="s">
        <v>35</v>
      </c>
      <c r="E153" s="2" t="s">
        <v>8</v>
      </c>
      <c r="F153" s="2" t="s">
        <v>12</v>
      </c>
      <c r="G153" s="2" t="s">
        <v>10</v>
      </c>
      <c r="H153" s="4">
        <v>2171</v>
      </c>
      <c r="I153" s="4">
        <v>1454.04</v>
      </c>
      <c r="J153" s="3">
        <v>0.04</v>
      </c>
      <c r="K153" s="4">
        <v>58.1616</v>
      </c>
    </row>
    <row r="154" spans="1:11" x14ac:dyDescent="0.3">
      <c r="A154">
        <v>153</v>
      </c>
      <c r="B154" s="1">
        <v>45449</v>
      </c>
      <c r="C154">
        <v>2024</v>
      </c>
      <c r="D154" s="2" t="s">
        <v>35</v>
      </c>
      <c r="E154" s="2" t="s">
        <v>11</v>
      </c>
      <c r="F154" s="2" t="s">
        <v>9</v>
      </c>
      <c r="G154" s="2" t="s">
        <v>19</v>
      </c>
      <c r="H154" s="4">
        <v>3458</v>
      </c>
      <c r="I154" s="4">
        <v>3526.38</v>
      </c>
      <c r="J154" s="3">
        <v>0.05</v>
      </c>
      <c r="K154" s="4">
        <v>176.31899999999999</v>
      </c>
    </row>
    <row r="155" spans="1:11" x14ac:dyDescent="0.3">
      <c r="A155">
        <v>154</v>
      </c>
      <c r="B155" s="1">
        <v>45450</v>
      </c>
      <c r="C155">
        <v>2024</v>
      </c>
      <c r="D155" s="2" t="s">
        <v>35</v>
      </c>
      <c r="E155" s="2" t="s">
        <v>11</v>
      </c>
      <c r="F155" s="2" t="s">
        <v>9</v>
      </c>
      <c r="G155" s="2" t="s">
        <v>19</v>
      </c>
      <c r="H155" s="4">
        <v>2101</v>
      </c>
      <c r="I155" s="4">
        <v>1758.54</v>
      </c>
      <c r="J155" s="3">
        <v>0.05</v>
      </c>
      <c r="K155" s="4">
        <v>87.927000000000007</v>
      </c>
    </row>
    <row r="156" spans="1:11" x14ac:dyDescent="0.3">
      <c r="A156">
        <v>155</v>
      </c>
      <c r="B156" s="1">
        <v>45451</v>
      </c>
      <c r="C156">
        <v>2024</v>
      </c>
      <c r="D156" s="2" t="s">
        <v>35</v>
      </c>
      <c r="E156" s="2" t="s">
        <v>8</v>
      </c>
      <c r="F156" s="2" t="s">
        <v>15</v>
      </c>
      <c r="G156" s="2" t="s">
        <v>19</v>
      </c>
      <c r="H156" s="4">
        <v>4913</v>
      </c>
      <c r="I156" s="4">
        <v>6528.8</v>
      </c>
      <c r="J156" s="3">
        <v>0.04</v>
      </c>
      <c r="K156" s="4">
        <v>261.15199999999999</v>
      </c>
    </row>
    <row r="157" spans="1:11" x14ac:dyDescent="0.3">
      <c r="A157">
        <v>156</v>
      </c>
      <c r="B157" s="1">
        <v>45452</v>
      </c>
      <c r="C157">
        <v>2024</v>
      </c>
      <c r="D157" s="2" t="s">
        <v>35</v>
      </c>
      <c r="E157" s="2" t="s">
        <v>8</v>
      </c>
      <c r="F157" s="2" t="s">
        <v>15</v>
      </c>
      <c r="G157" s="2" t="s">
        <v>19</v>
      </c>
      <c r="H157" s="4">
        <v>4571</v>
      </c>
      <c r="I157" s="4">
        <v>4255.09</v>
      </c>
      <c r="J157" s="3">
        <v>0.04</v>
      </c>
      <c r="K157" s="4">
        <v>170.20359999999999</v>
      </c>
    </row>
    <row r="158" spans="1:11" x14ac:dyDescent="0.3">
      <c r="A158">
        <v>157</v>
      </c>
      <c r="B158" s="1">
        <v>45453</v>
      </c>
      <c r="C158">
        <v>2024</v>
      </c>
      <c r="D158" s="2" t="s">
        <v>35</v>
      </c>
      <c r="E158" s="2" t="s">
        <v>8</v>
      </c>
      <c r="F158" s="2" t="s">
        <v>15</v>
      </c>
      <c r="G158" s="2" t="s">
        <v>10</v>
      </c>
      <c r="H158" s="4">
        <v>4322</v>
      </c>
      <c r="I158" s="4">
        <v>3235.94</v>
      </c>
      <c r="J158" s="3">
        <v>0.04</v>
      </c>
      <c r="K158" s="4">
        <v>129.4376</v>
      </c>
    </row>
    <row r="159" spans="1:11" x14ac:dyDescent="0.3">
      <c r="A159">
        <v>158</v>
      </c>
      <c r="B159" s="1">
        <v>45454</v>
      </c>
      <c r="C159">
        <v>2024</v>
      </c>
      <c r="D159" s="2" t="s">
        <v>35</v>
      </c>
      <c r="E159" s="2" t="s">
        <v>17</v>
      </c>
      <c r="F159" s="2" t="s">
        <v>21</v>
      </c>
      <c r="G159" s="2" t="s">
        <v>10</v>
      </c>
      <c r="H159" s="4">
        <v>3636</v>
      </c>
      <c r="I159" s="4">
        <v>4061.94</v>
      </c>
      <c r="J159" s="3">
        <v>7.0000000000000007E-2</v>
      </c>
      <c r="K159" s="4">
        <v>284.33580000000001</v>
      </c>
    </row>
    <row r="160" spans="1:11" x14ac:dyDescent="0.3">
      <c r="A160">
        <v>159</v>
      </c>
      <c r="B160" s="1">
        <v>45455</v>
      </c>
      <c r="C160">
        <v>2024</v>
      </c>
      <c r="D160" s="2" t="s">
        <v>35</v>
      </c>
      <c r="E160" s="2" t="s">
        <v>17</v>
      </c>
      <c r="F160" s="2" t="s">
        <v>12</v>
      </c>
      <c r="G160" s="2" t="s">
        <v>16</v>
      </c>
      <c r="H160" s="4">
        <v>4864</v>
      </c>
      <c r="I160" s="4">
        <v>5869.76</v>
      </c>
      <c r="J160" s="3">
        <v>7.0000000000000007E-2</v>
      </c>
      <c r="K160" s="4">
        <v>410.88319999999999</v>
      </c>
    </row>
    <row r="161" spans="1:11" x14ac:dyDescent="0.3">
      <c r="A161">
        <v>160</v>
      </c>
      <c r="B161" s="1">
        <v>45456</v>
      </c>
      <c r="C161">
        <v>2024</v>
      </c>
      <c r="D161" s="2" t="s">
        <v>35</v>
      </c>
      <c r="E161" s="2" t="s">
        <v>17</v>
      </c>
      <c r="F161" s="2" t="s">
        <v>15</v>
      </c>
      <c r="G161" s="2" t="s">
        <v>13</v>
      </c>
      <c r="H161" s="4">
        <v>3040</v>
      </c>
      <c r="I161" s="4">
        <v>2027.81</v>
      </c>
      <c r="J161" s="3">
        <v>7.0000000000000007E-2</v>
      </c>
      <c r="K161" s="4">
        <v>141.94669999999999</v>
      </c>
    </row>
    <row r="162" spans="1:11" x14ac:dyDescent="0.3">
      <c r="A162">
        <v>161</v>
      </c>
      <c r="B162" s="1">
        <v>45457</v>
      </c>
      <c r="C162">
        <v>2024</v>
      </c>
      <c r="D162" s="2" t="s">
        <v>35</v>
      </c>
      <c r="E162" s="2" t="s">
        <v>11</v>
      </c>
      <c r="F162" s="2" t="s">
        <v>14</v>
      </c>
      <c r="G162" s="2" t="s">
        <v>10</v>
      </c>
      <c r="H162" s="4">
        <v>2329</v>
      </c>
      <c r="I162" s="4">
        <v>1554.89</v>
      </c>
      <c r="J162" s="3">
        <v>0.05</v>
      </c>
      <c r="K162" s="4">
        <v>77.744500000000002</v>
      </c>
    </row>
    <row r="163" spans="1:11" x14ac:dyDescent="0.3">
      <c r="A163">
        <v>162</v>
      </c>
      <c r="B163" s="1">
        <v>45458</v>
      </c>
      <c r="C163">
        <v>2024</v>
      </c>
      <c r="D163" s="2" t="s">
        <v>35</v>
      </c>
      <c r="E163" s="2" t="s">
        <v>17</v>
      </c>
      <c r="F163" s="2" t="s">
        <v>21</v>
      </c>
      <c r="G163" s="2" t="s">
        <v>10</v>
      </c>
      <c r="H163" s="4">
        <v>3520</v>
      </c>
      <c r="I163" s="4">
        <v>1889.08</v>
      </c>
      <c r="J163" s="3">
        <v>7.0000000000000007E-2</v>
      </c>
      <c r="K163" s="4">
        <v>132.23560000000001</v>
      </c>
    </row>
    <row r="164" spans="1:11" x14ac:dyDescent="0.3">
      <c r="A164">
        <v>163</v>
      </c>
      <c r="B164" s="1">
        <v>45459</v>
      </c>
      <c r="C164">
        <v>2024</v>
      </c>
      <c r="D164" s="2" t="s">
        <v>35</v>
      </c>
      <c r="E164" s="2" t="s">
        <v>11</v>
      </c>
      <c r="F164" s="2" t="s">
        <v>18</v>
      </c>
      <c r="G164" s="2" t="s">
        <v>13</v>
      </c>
      <c r="H164" s="4">
        <v>2011</v>
      </c>
      <c r="I164" s="4">
        <v>2486.4</v>
      </c>
      <c r="J164" s="3">
        <v>0.05</v>
      </c>
      <c r="K164" s="4">
        <v>124.32</v>
      </c>
    </row>
    <row r="165" spans="1:11" x14ac:dyDescent="0.3">
      <c r="A165">
        <v>164</v>
      </c>
      <c r="B165" s="1">
        <v>45460</v>
      </c>
      <c r="C165">
        <v>2024</v>
      </c>
      <c r="D165" s="2" t="s">
        <v>35</v>
      </c>
      <c r="E165" s="2" t="s">
        <v>11</v>
      </c>
      <c r="F165" s="2" t="s">
        <v>14</v>
      </c>
      <c r="G165" s="2" t="s">
        <v>10</v>
      </c>
      <c r="H165" s="4">
        <v>3341</v>
      </c>
      <c r="I165" s="4">
        <v>3888.27</v>
      </c>
      <c r="J165" s="3">
        <v>0.05</v>
      </c>
      <c r="K165" s="4">
        <v>194.4135</v>
      </c>
    </row>
    <row r="166" spans="1:11" x14ac:dyDescent="0.3">
      <c r="A166">
        <v>165</v>
      </c>
      <c r="B166" s="1">
        <v>45461</v>
      </c>
      <c r="C166">
        <v>2024</v>
      </c>
      <c r="D166" s="2" t="s">
        <v>35</v>
      </c>
      <c r="E166" s="2" t="s">
        <v>17</v>
      </c>
      <c r="F166" s="2" t="s">
        <v>20</v>
      </c>
      <c r="G166" s="2" t="s">
        <v>19</v>
      </c>
      <c r="H166" s="4">
        <v>2215</v>
      </c>
      <c r="I166" s="4">
        <v>2158.81</v>
      </c>
      <c r="J166" s="3">
        <v>7.0000000000000007E-2</v>
      </c>
      <c r="K166" s="4">
        <v>151.11670000000001</v>
      </c>
    </row>
    <row r="167" spans="1:11" x14ac:dyDescent="0.3">
      <c r="A167">
        <v>166</v>
      </c>
      <c r="B167" s="1">
        <v>45462</v>
      </c>
      <c r="C167">
        <v>2024</v>
      </c>
      <c r="D167" s="2" t="s">
        <v>35</v>
      </c>
      <c r="E167" s="2" t="s">
        <v>17</v>
      </c>
      <c r="F167" s="2" t="s">
        <v>20</v>
      </c>
      <c r="G167" s="2" t="s">
        <v>19</v>
      </c>
      <c r="H167" s="4">
        <v>2338</v>
      </c>
      <c r="I167" s="4">
        <v>3142.67</v>
      </c>
      <c r="J167" s="3">
        <v>7.0000000000000007E-2</v>
      </c>
      <c r="K167" s="4">
        <v>219.98689999999999</v>
      </c>
    </row>
    <row r="168" spans="1:11" x14ac:dyDescent="0.3">
      <c r="A168">
        <v>167</v>
      </c>
      <c r="B168" s="1">
        <v>45463</v>
      </c>
      <c r="C168">
        <v>2024</v>
      </c>
      <c r="D168" s="2" t="s">
        <v>35</v>
      </c>
      <c r="E168" s="2" t="s">
        <v>17</v>
      </c>
      <c r="F168" s="2" t="s">
        <v>14</v>
      </c>
      <c r="G168" s="2" t="s">
        <v>13</v>
      </c>
      <c r="H168" s="4">
        <v>3799</v>
      </c>
      <c r="I168" s="4">
        <v>4960.24</v>
      </c>
      <c r="J168" s="3">
        <v>7.0000000000000007E-2</v>
      </c>
      <c r="K168" s="4">
        <v>347.21679999999998</v>
      </c>
    </row>
    <row r="169" spans="1:11" x14ac:dyDescent="0.3">
      <c r="A169">
        <v>168</v>
      </c>
      <c r="B169" s="1">
        <v>45464</v>
      </c>
      <c r="C169">
        <v>2024</v>
      </c>
      <c r="D169" s="2" t="s">
        <v>35</v>
      </c>
      <c r="E169" s="2" t="s">
        <v>8</v>
      </c>
      <c r="F169" s="2" t="s">
        <v>15</v>
      </c>
      <c r="G169" s="2" t="s">
        <v>16</v>
      </c>
      <c r="H169" s="4">
        <v>4708</v>
      </c>
      <c r="I169" s="4">
        <v>5109.8500000000004</v>
      </c>
      <c r="J169" s="3">
        <v>0.04</v>
      </c>
      <c r="K169" s="4">
        <v>204.39400000000001</v>
      </c>
    </row>
    <row r="170" spans="1:11" x14ac:dyDescent="0.3">
      <c r="A170">
        <v>169</v>
      </c>
      <c r="B170" s="1">
        <v>45465</v>
      </c>
      <c r="C170">
        <v>2024</v>
      </c>
      <c r="D170" s="2" t="s">
        <v>35</v>
      </c>
      <c r="E170" s="2" t="s">
        <v>17</v>
      </c>
      <c r="F170" s="2" t="s">
        <v>18</v>
      </c>
      <c r="G170" s="2" t="s">
        <v>16</v>
      </c>
      <c r="H170" s="4">
        <v>3750</v>
      </c>
      <c r="I170" s="4">
        <v>5131.0200000000004</v>
      </c>
      <c r="J170" s="3">
        <v>7.0000000000000007E-2</v>
      </c>
      <c r="K170" s="4">
        <v>359.17140000000001</v>
      </c>
    </row>
    <row r="171" spans="1:11" x14ac:dyDescent="0.3">
      <c r="A171">
        <v>170</v>
      </c>
      <c r="B171" s="1">
        <v>45466</v>
      </c>
      <c r="C171">
        <v>2024</v>
      </c>
      <c r="D171" s="2" t="s">
        <v>35</v>
      </c>
      <c r="E171" s="2" t="s">
        <v>8</v>
      </c>
      <c r="F171" s="2" t="s">
        <v>18</v>
      </c>
      <c r="G171" s="2" t="s">
        <v>13</v>
      </c>
      <c r="H171" s="4">
        <v>3508</v>
      </c>
      <c r="I171" s="4">
        <v>2476.09</v>
      </c>
      <c r="J171" s="3">
        <v>0.04</v>
      </c>
      <c r="K171" s="4">
        <v>99.043599999999998</v>
      </c>
    </row>
    <row r="172" spans="1:11" x14ac:dyDescent="0.3">
      <c r="A172">
        <v>171</v>
      </c>
      <c r="B172" s="1">
        <v>45467</v>
      </c>
      <c r="C172">
        <v>2024</v>
      </c>
      <c r="D172" s="2" t="s">
        <v>35</v>
      </c>
      <c r="E172" s="2" t="s">
        <v>11</v>
      </c>
      <c r="F172" s="2" t="s">
        <v>21</v>
      </c>
      <c r="G172" s="2" t="s">
        <v>13</v>
      </c>
      <c r="H172" s="4">
        <v>4421</v>
      </c>
      <c r="I172" s="4">
        <v>2705.3</v>
      </c>
      <c r="J172" s="3">
        <v>0.05</v>
      </c>
      <c r="K172" s="4">
        <v>135.26499999999999</v>
      </c>
    </row>
    <row r="173" spans="1:11" x14ac:dyDescent="0.3">
      <c r="A173">
        <v>172</v>
      </c>
      <c r="B173" s="1">
        <v>45468</v>
      </c>
      <c r="C173">
        <v>2024</v>
      </c>
      <c r="D173" s="2" t="s">
        <v>35</v>
      </c>
      <c r="E173" s="2" t="s">
        <v>8</v>
      </c>
      <c r="F173" s="2" t="s">
        <v>18</v>
      </c>
      <c r="G173" s="2" t="s">
        <v>19</v>
      </c>
      <c r="H173" s="4">
        <v>2709</v>
      </c>
      <c r="I173" s="4">
        <v>2085.25</v>
      </c>
      <c r="J173" s="3">
        <v>0.04</v>
      </c>
      <c r="K173" s="4">
        <v>83.41</v>
      </c>
    </row>
    <row r="174" spans="1:11" x14ac:dyDescent="0.3">
      <c r="A174">
        <v>173</v>
      </c>
      <c r="B174" s="1">
        <v>45469</v>
      </c>
      <c r="C174">
        <v>2024</v>
      </c>
      <c r="D174" s="2" t="s">
        <v>35</v>
      </c>
      <c r="E174" s="2" t="s">
        <v>17</v>
      </c>
      <c r="F174" s="2" t="s">
        <v>20</v>
      </c>
      <c r="G174" s="2" t="s">
        <v>16</v>
      </c>
      <c r="H174" s="4">
        <v>3223</v>
      </c>
      <c r="I174" s="4">
        <v>1795.49</v>
      </c>
      <c r="J174" s="3">
        <v>7.0000000000000007E-2</v>
      </c>
      <c r="K174" s="4">
        <v>125.68429999999999</v>
      </c>
    </row>
    <row r="175" spans="1:11" x14ac:dyDescent="0.3">
      <c r="A175">
        <v>174</v>
      </c>
      <c r="B175" s="1">
        <v>45470</v>
      </c>
      <c r="C175">
        <v>2024</v>
      </c>
      <c r="D175" s="2" t="s">
        <v>35</v>
      </c>
      <c r="E175" s="2" t="s">
        <v>11</v>
      </c>
      <c r="F175" s="2" t="s">
        <v>12</v>
      </c>
      <c r="G175" s="2" t="s">
        <v>10</v>
      </c>
      <c r="H175" s="4">
        <v>4513</v>
      </c>
      <c r="I175" s="4">
        <v>4653.67</v>
      </c>
      <c r="J175" s="3">
        <v>0.05</v>
      </c>
      <c r="K175" s="4">
        <v>232.68350000000001</v>
      </c>
    </row>
    <row r="176" spans="1:11" x14ac:dyDescent="0.3">
      <c r="A176">
        <v>175</v>
      </c>
      <c r="B176" s="1">
        <v>45471</v>
      </c>
      <c r="C176">
        <v>2024</v>
      </c>
      <c r="D176" s="2" t="s">
        <v>35</v>
      </c>
      <c r="E176" s="2" t="s">
        <v>11</v>
      </c>
      <c r="F176" s="2" t="s">
        <v>15</v>
      </c>
      <c r="G176" s="2" t="s">
        <v>19</v>
      </c>
      <c r="H176" s="4">
        <v>3112</v>
      </c>
      <c r="I176" s="4">
        <v>4470.72</v>
      </c>
      <c r="J176" s="3">
        <v>0.05</v>
      </c>
      <c r="K176" s="4">
        <v>223.536</v>
      </c>
    </row>
    <row r="177" spans="1:11" x14ac:dyDescent="0.3">
      <c r="A177">
        <v>176</v>
      </c>
      <c r="B177" s="1">
        <v>45472</v>
      </c>
      <c r="C177">
        <v>2024</v>
      </c>
      <c r="D177" s="2" t="s">
        <v>35</v>
      </c>
      <c r="E177" s="2" t="s">
        <v>11</v>
      </c>
      <c r="F177" s="2" t="s">
        <v>18</v>
      </c>
      <c r="G177" s="2" t="s">
        <v>13</v>
      </c>
      <c r="H177" s="4">
        <v>3291</v>
      </c>
      <c r="I177" s="4">
        <v>1774.98</v>
      </c>
      <c r="J177" s="3">
        <v>0.05</v>
      </c>
      <c r="K177" s="4">
        <v>88.748999999999995</v>
      </c>
    </row>
    <row r="178" spans="1:11" x14ac:dyDescent="0.3">
      <c r="A178">
        <v>177</v>
      </c>
      <c r="B178" s="1">
        <v>45473</v>
      </c>
      <c r="C178">
        <v>2024</v>
      </c>
      <c r="D178" s="2" t="s">
        <v>35</v>
      </c>
      <c r="E178" s="2" t="s">
        <v>8</v>
      </c>
      <c r="F178" s="2" t="s">
        <v>21</v>
      </c>
      <c r="G178" s="2" t="s">
        <v>16</v>
      </c>
      <c r="H178" s="4">
        <v>2488</v>
      </c>
      <c r="I178" s="4">
        <v>1547.81</v>
      </c>
      <c r="J178" s="3">
        <v>0.04</v>
      </c>
      <c r="K178" s="4">
        <v>61.912399999999998</v>
      </c>
    </row>
    <row r="179" spans="1:11" x14ac:dyDescent="0.3">
      <c r="A179">
        <v>178</v>
      </c>
      <c r="B179" s="1">
        <v>45474</v>
      </c>
      <c r="C179">
        <v>2024</v>
      </c>
      <c r="D179" s="2" t="s">
        <v>36</v>
      </c>
      <c r="E179" s="2" t="s">
        <v>17</v>
      </c>
      <c r="F179" s="2" t="s">
        <v>20</v>
      </c>
      <c r="G179" s="2" t="s">
        <v>10</v>
      </c>
      <c r="H179" s="4">
        <v>3561</v>
      </c>
      <c r="I179" s="4">
        <v>3390.78</v>
      </c>
      <c r="J179" s="3">
        <v>7.0000000000000007E-2</v>
      </c>
      <c r="K179" s="4">
        <v>237.3546</v>
      </c>
    </row>
    <row r="180" spans="1:11" x14ac:dyDescent="0.3">
      <c r="A180">
        <v>179</v>
      </c>
      <c r="B180" s="1">
        <v>45475</v>
      </c>
      <c r="C180">
        <v>2024</v>
      </c>
      <c r="D180" s="2" t="s">
        <v>36</v>
      </c>
      <c r="E180" s="2" t="s">
        <v>11</v>
      </c>
      <c r="F180" s="2" t="s">
        <v>12</v>
      </c>
      <c r="G180" s="2" t="s">
        <v>10</v>
      </c>
      <c r="H180" s="4">
        <v>2046</v>
      </c>
      <c r="I180" s="4">
        <v>2933.71</v>
      </c>
      <c r="J180" s="3">
        <v>0.05</v>
      </c>
      <c r="K180" s="4">
        <v>146.68549999999999</v>
      </c>
    </row>
    <row r="181" spans="1:11" x14ac:dyDescent="0.3">
      <c r="A181">
        <v>180</v>
      </c>
      <c r="B181" s="1">
        <v>45476</v>
      </c>
      <c r="C181">
        <v>2024</v>
      </c>
      <c r="D181" s="2" t="s">
        <v>36</v>
      </c>
      <c r="E181" s="2" t="s">
        <v>11</v>
      </c>
      <c r="F181" s="2" t="s">
        <v>9</v>
      </c>
      <c r="G181" s="2" t="s">
        <v>19</v>
      </c>
      <c r="H181" s="4">
        <v>2777</v>
      </c>
      <c r="I181" s="4">
        <v>2266.4699999999998</v>
      </c>
      <c r="J181" s="3">
        <v>0.05</v>
      </c>
      <c r="K181" s="4">
        <v>113.3235</v>
      </c>
    </row>
    <row r="182" spans="1:11" x14ac:dyDescent="0.3">
      <c r="A182">
        <v>181</v>
      </c>
      <c r="B182" s="1">
        <v>45477</v>
      </c>
      <c r="C182">
        <v>2024</v>
      </c>
      <c r="D182" s="2" t="s">
        <v>36</v>
      </c>
      <c r="E182" s="2" t="s">
        <v>11</v>
      </c>
      <c r="F182" s="2" t="s">
        <v>9</v>
      </c>
      <c r="G182" s="2" t="s">
        <v>16</v>
      </c>
      <c r="H182" s="4">
        <v>3039</v>
      </c>
      <c r="I182" s="4">
        <v>3060.99</v>
      </c>
      <c r="J182" s="3">
        <v>0.05</v>
      </c>
      <c r="K182" s="4">
        <v>153.04949999999999</v>
      </c>
    </row>
    <row r="183" spans="1:11" x14ac:dyDescent="0.3">
      <c r="A183">
        <v>182</v>
      </c>
      <c r="B183" s="1">
        <v>45478</v>
      </c>
      <c r="C183">
        <v>2024</v>
      </c>
      <c r="D183" s="2" t="s">
        <v>36</v>
      </c>
      <c r="E183" s="2" t="s">
        <v>8</v>
      </c>
      <c r="F183" s="2" t="s">
        <v>12</v>
      </c>
      <c r="G183" s="2" t="s">
        <v>16</v>
      </c>
      <c r="H183" s="4">
        <v>2710</v>
      </c>
      <c r="I183" s="4">
        <v>1467.66</v>
      </c>
      <c r="J183" s="3">
        <v>0.04</v>
      </c>
      <c r="K183" s="4">
        <v>58.706400000000002</v>
      </c>
    </row>
    <row r="184" spans="1:11" x14ac:dyDescent="0.3">
      <c r="A184">
        <v>183</v>
      </c>
      <c r="B184" s="1">
        <v>45479</v>
      </c>
      <c r="C184">
        <v>2024</v>
      </c>
      <c r="D184" s="2" t="s">
        <v>36</v>
      </c>
      <c r="E184" s="2" t="s">
        <v>8</v>
      </c>
      <c r="F184" s="2" t="s">
        <v>20</v>
      </c>
      <c r="G184" s="2" t="s">
        <v>13</v>
      </c>
      <c r="H184" s="4">
        <v>2400</v>
      </c>
      <c r="I184" s="4">
        <v>1556.02</v>
      </c>
      <c r="J184" s="3">
        <v>0.04</v>
      </c>
      <c r="K184" s="4">
        <v>62.2408</v>
      </c>
    </row>
    <row r="185" spans="1:11" x14ac:dyDescent="0.3">
      <c r="A185">
        <v>184</v>
      </c>
      <c r="B185" s="1">
        <v>45480</v>
      </c>
      <c r="C185">
        <v>2024</v>
      </c>
      <c r="D185" s="2" t="s">
        <v>36</v>
      </c>
      <c r="E185" s="2" t="s">
        <v>17</v>
      </c>
      <c r="F185" s="2" t="s">
        <v>21</v>
      </c>
      <c r="G185" s="2" t="s">
        <v>16</v>
      </c>
      <c r="H185" s="4">
        <v>3817</v>
      </c>
      <c r="I185" s="4">
        <v>5674.47</v>
      </c>
      <c r="J185" s="3">
        <v>7.0000000000000007E-2</v>
      </c>
      <c r="K185" s="4">
        <v>397.21289999999999</v>
      </c>
    </row>
    <row r="186" spans="1:11" x14ac:dyDescent="0.3">
      <c r="A186">
        <v>185</v>
      </c>
      <c r="B186" s="1">
        <v>45481</v>
      </c>
      <c r="C186">
        <v>2024</v>
      </c>
      <c r="D186" s="2" t="s">
        <v>36</v>
      </c>
      <c r="E186" s="2" t="s">
        <v>8</v>
      </c>
      <c r="F186" s="2" t="s">
        <v>12</v>
      </c>
      <c r="G186" s="2" t="s">
        <v>16</v>
      </c>
      <c r="H186" s="4">
        <v>2249</v>
      </c>
      <c r="I186" s="4">
        <v>3295.05</v>
      </c>
      <c r="J186" s="3">
        <v>0.04</v>
      </c>
      <c r="K186" s="4">
        <v>131.80199999999999</v>
      </c>
    </row>
    <row r="187" spans="1:11" x14ac:dyDescent="0.3">
      <c r="A187">
        <v>186</v>
      </c>
      <c r="B187" s="1">
        <v>45482</v>
      </c>
      <c r="C187">
        <v>2024</v>
      </c>
      <c r="D187" s="2" t="s">
        <v>36</v>
      </c>
      <c r="E187" s="2" t="s">
        <v>11</v>
      </c>
      <c r="F187" s="2" t="s">
        <v>15</v>
      </c>
      <c r="G187" s="2" t="s">
        <v>19</v>
      </c>
      <c r="H187" s="4">
        <v>2390</v>
      </c>
      <c r="I187" s="4">
        <v>1206.81</v>
      </c>
      <c r="J187" s="3">
        <v>0.05</v>
      </c>
      <c r="K187" s="4">
        <v>60.340499999999999</v>
      </c>
    </row>
    <row r="188" spans="1:11" x14ac:dyDescent="0.3">
      <c r="A188">
        <v>187</v>
      </c>
      <c r="B188" s="1">
        <v>45483</v>
      </c>
      <c r="C188">
        <v>2024</v>
      </c>
      <c r="D188" s="2" t="s">
        <v>36</v>
      </c>
      <c r="E188" s="2" t="s">
        <v>17</v>
      </c>
      <c r="F188" s="2" t="s">
        <v>15</v>
      </c>
      <c r="G188" s="2" t="s">
        <v>16</v>
      </c>
      <c r="H188" s="4">
        <v>2334</v>
      </c>
      <c r="I188" s="4">
        <v>3388.53</v>
      </c>
      <c r="J188" s="3">
        <v>7.0000000000000007E-2</v>
      </c>
      <c r="K188" s="4">
        <v>237.19710000000001</v>
      </c>
    </row>
    <row r="189" spans="1:11" x14ac:dyDescent="0.3">
      <c r="A189">
        <v>188</v>
      </c>
      <c r="B189" s="1">
        <v>45484</v>
      </c>
      <c r="C189">
        <v>2024</v>
      </c>
      <c r="D189" s="2" t="s">
        <v>36</v>
      </c>
      <c r="E189" s="2" t="s">
        <v>11</v>
      </c>
      <c r="F189" s="2" t="s">
        <v>9</v>
      </c>
      <c r="G189" s="2" t="s">
        <v>10</v>
      </c>
      <c r="H189" s="4">
        <v>2628</v>
      </c>
      <c r="I189" s="4">
        <v>2993.61</v>
      </c>
      <c r="J189" s="3">
        <v>0.05</v>
      </c>
      <c r="K189" s="4">
        <v>149.68049999999999</v>
      </c>
    </row>
    <row r="190" spans="1:11" x14ac:dyDescent="0.3">
      <c r="A190">
        <v>189</v>
      </c>
      <c r="B190" s="1">
        <v>45485</v>
      </c>
      <c r="C190">
        <v>2024</v>
      </c>
      <c r="D190" s="2" t="s">
        <v>36</v>
      </c>
      <c r="E190" s="2" t="s">
        <v>11</v>
      </c>
      <c r="F190" s="2" t="s">
        <v>18</v>
      </c>
      <c r="G190" s="2" t="s">
        <v>19</v>
      </c>
      <c r="H190" s="4">
        <v>2136</v>
      </c>
      <c r="I190" s="4">
        <v>2921.87</v>
      </c>
      <c r="J190" s="3">
        <v>0.05</v>
      </c>
      <c r="K190" s="4">
        <v>146.09350000000001</v>
      </c>
    </row>
    <row r="191" spans="1:11" x14ac:dyDescent="0.3">
      <c r="A191">
        <v>190</v>
      </c>
      <c r="B191" s="1">
        <v>45486</v>
      </c>
      <c r="C191">
        <v>2024</v>
      </c>
      <c r="D191" s="2" t="s">
        <v>36</v>
      </c>
      <c r="E191" s="2" t="s">
        <v>8</v>
      </c>
      <c r="F191" s="2" t="s">
        <v>21</v>
      </c>
      <c r="G191" s="2" t="s">
        <v>19</v>
      </c>
      <c r="H191" s="4">
        <v>4930</v>
      </c>
      <c r="I191" s="4">
        <v>4706.87</v>
      </c>
      <c r="J191" s="3">
        <v>0.04</v>
      </c>
      <c r="K191" s="4">
        <v>188.2748</v>
      </c>
    </row>
    <row r="192" spans="1:11" x14ac:dyDescent="0.3">
      <c r="A192">
        <v>191</v>
      </c>
      <c r="B192" s="1">
        <v>45487</v>
      </c>
      <c r="C192">
        <v>2024</v>
      </c>
      <c r="D192" s="2" t="s">
        <v>36</v>
      </c>
      <c r="E192" s="2" t="s">
        <v>17</v>
      </c>
      <c r="F192" s="2" t="s">
        <v>9</v>
      </c>
      <c r="G192" s="2" t="s">
        <v>13</v>
      </c>
      <c r="H192" s="4">
        <v>4735</v>
      </c>
      <c r="I192" s="4">
        <v>4808.8500000000004</v>
      </c>
      <c r="J192" s="3">
        <v>7.0000000000000007E-2</v>
      </c>
      <c r="K192" s="4">
        <v>336.61950000000002</v>
      </c>
    </row>
    <row r="193" spans="1:11" x14ac:dyDescent="0.3">
      <c r="A193">
        <v>192</v>
      </c>
      <c r="B193" s="1">
        <v>45488</v>
      </c>
      <c r="C193">
        <v>2024</v>
      </c>
      <c r="D193" s="2" t="s">
        <v>36</v>
      </c>
      <c r="E193" s="2" t="s">
        <v>8</v>
      </c>
      <c r="F193" s="2" t="s">
        <v>18</v>
      </c>
      <c r="G193" s="2" t="s">
        <v>16</v>
      </c>
      <c r="H193" s="4">
        <v>3521</v>
      </c>
      <c r="I193" s="4">
        <v>3481.73</v>
      </c>
      <c r="J193" s="3">
        <v>0.04</v>
      </c>
      <c r="K193" s="4">
        <v>139.26920000000001</v>
      </c>
    </row>
    <row r="194" spans="1:11" x14ac:dyDescent="0.3">
      <c r="A194">
        <v>193</v>
      </c>
      <c r="B194" s="1">
        <v>45489</v>
      </c>
      <c r="C194">
        <v>2024</v>
      </c>
      <c r="D194" s="2" t="s">
        <v>36</v>
      </c>
      <c r="E194" s="2" t="s">
        <v>8</v>
      </c>
      <c r="F194" s="2" t="s">
        <v>18</v>
      </c>
      <c r="G194" s="2" t="s">
        <v>13</v>
      </c>
      <c r="H194" s="4">
        <v>2826</v>
      </c>
      <c r="I194" s="4">
        <v>3297.56</v>
      </c>
      <c r="J194" s="3">
        <v>0.04</v>
      </c>
      <c r="K194" s="4">
        <v>131.9024</v>
      </c>
    </row>
    <row r="195" spans="1:11" x14ac:dyDescent="0.3">
      <c r="A195">
        <v>194</v>
      </c>
      <c r="B195" s="1">
        <v>45490</v>
      </c>
      <c r="C195">
        <v>2024</v>
      </c>
      <c r="D195" s="2" t="s">
        <v>36</v>
      </c>
      <c r="E195" s="2" t="s">
        <v>17</v>
      </c>
      <c r="F195" s="2" t="s">
        <v>15</v>
      </c>
      <c r="G195" s="2" t="s">
        <v>10</v>
      </c>
      <c r="H195" s="4">
        <v>2726</v>
      </c>
      <c r="I195" s="4">
        <v>1743.69</v>
      </c>
      <c r="J195" s="3">
        <v>7.0000000000000007E-2</v>
      </c>
      <c r="K195" s="4">
        <v>122.0583</v>
      </c>
    </row>
    <row r="196" spans="1:11" x14ac:dyDescent="0.3">
      <c r="A196">
        <v>195</v>
      </c>
      <c r="B196" s="1">
        <v>45491</v>
      </c>
      <c r="C196">
        <v>2024</v>
      </c>
      <c r="D196" s="2" t="s">
        <v>36</v>
      </c>
      <c r="E196" s="2" t="s">
        <v>11</v>
      </c>
      <c r="F196" s="2" t="s">
        <v>20</v>
      </c>
      <c r="G196" s="2" t="s">
        <v>19</v>
      </c>
      <c r="H196" s="4">
        <v>3500</v>
      </c>
      <c r="I196" s="4">
        <v>1854.91</v>
      </c>
      <c r="J196" s="3">
        <v>0.05</v>
      </c>
      <c r="K196" s="4">
        <v>92.745500000000007</v>
      </c>
    </row>
    <row r="197" spans="1:11" x14ac:dyDescent="0.3">
      <c r="A197">
        <v>196</v>
      </c>
      <c r="B197" s="1">
        <v>45492</v>
      </c>
      <c r="C197">
        <v>2024</v>
      </c>
      <c r="D197" s="2" t="s">
        <v>36</v>
      </c>
      <c r="E197" s="2" t="s">
        <v>11</v>
      </c>
      <c r="F197" s="2" t="s">
        <v>14</v>
      </c>
      <c r="G197" s="2" t="s">
        <v>19</v>
      </c>
      <c r="H197" s="4">
        <v>4641</v>
      </c>
      <c r="I197" s="4">
        <v>3749.6</v>
      </c>
      <c r="J197" s="3">
        <v>0.05</v>
      </c>
      <c r="K197" s="4">
        <v>187.48</v>
      </c>
    </row>
    <row r="198" spans="1:11" x14ac:dyDescent="0.3">
      <c r="A198">
        <v>197</v>
      </c>
      <c r="B198" s="1">
        <v>45493</v>
      </c>
      <c r="C198">
        <v>2024</v>
      </c>
      <c r="D198" s="2" t="s">
        <v>36</v>
      </c>
      <c r="E198" s="2" t="s">
        <v>17</v>
      </c>
      <c r="F198" s="2" t="s">
        <v>20</v>
      </c>
      <c r="G198" s="2" t="s">
        <v>19</v>
      </c>
      <c r="H198" s="4">
        <v>2989</v>
      </c>
      <c r="I198" s="4">
        <v>3600.79</v>
      </c>
      <c r="J198" s="3">
        <v>7.0000000000000007E-2</v>
      </c>
      <c r="K198" s="4">
        <v>252.05529999999999</v>
      </c>
    </row>
    <row r="199" spans="1:11" x14ac:dyDescent="0.3">
      <c r="A199">
        <v>198</v>
      </c>
      <c r="B199" s="1">
        <v>45494</v>
      </c>
      <c r="C199">
        <v>2024</v>
      </c>
      <c r="D199" s="2" t="s">
        <v>36</v>
      </c>
      <c r="E199" s="2" t="s">
        <v>11</v>
      </c>
      <c r="F199" s="2" t="s">
        <v>14</v>
      </c>
      <c r="G199" s="2" t="s">
        <v>10</v>
      </c>
      <c r="H199" s="4">
        <v>4419</v>
      </c>
      <c r="I199" s="4">
        <v>3101.49</v>
      </c>
      <c r="J199" s="3">
        <v>0.05</v>
      </c>
      <c r="K199" s="4">
        <v>155.0745</v>
      </c>
    </row>
    <row r="200" spans="1:11" x14ac:dyDescent="0.3">
      <c r="A200">
        <v>199</v>
      </c>
      <c r="B200" s="1">
        <v>45495</v>
      </c>
      <c r="C200">
        <v>2024</v>
      </c>
      <c r="D200" s="2" t="s">
        <v>36</v>
      </c>
      <c r="E200" s="2" t="s">
        <v>17</v>
      </c>
      <c r="F200" s="2" t="s">
        <v>12</v>
      </c>
      <c r="G200" s="2" t="s">
        <v>10</v>
      </c>
      <c r="H200" s="4">
        <v>2934</v>
      </c>
      <c r="I200" s="4">
        <v>3442.85</v>
      </c>
      <c r="J200" s="3">
        <v>7.0000000000000007E-2</v>
      </c>
      <c r="K200" s="4">
        <v>240.99950000000001</v>
      </c>
    </row>
    <row r="201" spans="1:11" x14ac:dyDescent="0.3">
      <c r="A201">
        <v>200</v>
      </c>
      <c r="B201" s="1">
        <v>45496</v>
      </c>
      <c r="C201">
        <v>2024</v>
      </c>
      <c r="D201" s="2" t="s">
        <v>36</v>
      </c>
      <c r="E201" s="2" t="s">
        <v>17</v>
      </c>
      <c r="F201" s="2" t="s">
        <v>15</v>
      </c>
      <c r="G201" s="2" t="s">
        <v>13</v>
      </c>
      <c r="H201" s="4">
        <v>2401</v>
      </c>
      <c r="I201" s="4">
        <v>3529.26</v>
      </c>
      <c r="J201" s="3">
        <v>7.0000000000000007E-2</v>
      </c>
      <c r="K201" s="4">
        <v>247.04820000000001</v>
      </c>
    </row>
    <row r="202" spans="1:11" x14ac:dyDescent="0.3">
      <c r="A202">
        <v>201</v>
      </c>
      <c r="B202" s="1">
        <v>45497</v>
      </c>
      <c r="C202">
        <v>2024</v>
      </c>
      <c r="D202" s="2" t="s">
        <v>36</v>
      </c>
      <c r="E202" s="2" t="s">
        <v>8</v>
      </c>
      <c r="F202" s="2" t="s">
        <v>18</v>
      </c>
      <c r="G202" s="2" t="s">
        <v>13</v>
      </c>
      <c r="H202" s="4">
        <v>3466</v>
      </c>
      <c r="I202" s="4">
        <v>2058.46</v>
      </c>
      <c r="J202" s="3">
        <v>0.04</v>
      </c>
      <c r="K202" s="4">
        <v>82.338399999999993</v>
      </c>
    </row>
    <row r="203" spans="1:11" x14ac:dyDescent="0.3">
      <c r="A203">
        <v>202</v>
      </c>
      <c r="B203" s="1">
        <v>45498</v>
      </c>
      <c r="C203">
        <v>2024</v>
      </c>
      <c r="D203" s="2" t="s">
        <v>36</v>
      </c>
      <c r="E203" s="2" t="s">
        <v>17</v>
      </c>
      <c r="F203" s="2" t="s">
        <v>21</v>
      </c>
      <c r="G203" s="2" t="s">
        <v>13</v>
      </c>
      <c r="H203" s="4">
        <v>2614</v>
      </c>
      <c r="I203" s="4">
        <v>3065.18</v>
      </c>
      <c r="J203" s="3">
        <v>7.0000000000000007E-2</v>
      </c>
      <c r="K203" s="4">
        <v>214.5626</v>
      </c>
    </row>
    <row r="204" spans="1:11" x14ac:dyDescent="0.3">
      <c r="A204">
        <v>203</v>
      </c>
      <c r="B204" s="1">
        <v>45499</v>
      </c>
      <c r="C204">
        <v>2024</v>
      </c>
      <c r="D204" s="2" t="s">
        <v>36</v>
      </c>
      <c r="E204" s="2" t="s">
        <v>8</v>
      </c>
      <c r="F204" s="2" t="s">
        <v>14</v>
      </c>
      <c r="G204" s="2" t="s">
        <v>16</v>
      </c>
      <c r="H204" s="4">
        <v>3296</v>
      </c>
      <c r="I204" s="4">
        <v>3110.6</v>
      </c>
      <c r="J204" s="3">
        <v>0.04</v>
      </c>
      <c r="K204" s="4">
        <v>124.42400000000001</v>
      </c>
    </row>
    <row r="205" spans="1:11" x14ac:dyDescent="0.3">
      <c r="A205">
        <v>204</v>
      </c>
      <c r="B205" s="1">
        <v>45500</v>
      </c>
      <c r="C205">
        <v>2024</v>
      </c>
      <c r="D205" s="2" t="s">
        <v>36</v>
      </c>
      <c r="E205" s="2" t="s">
        <v>11</v>
      </c>
      <c r="F205" s="2" t="s">
        <v>20</v>
      </c>
      <c r="G205" s="2" t="s">
        <v>19</v>
      </c>
      <c r="H205" s="4">
        <v>3182</v>
      </c>
      <c r="I205" s="4">
        <v>4353.43</v>
      </c>
      <c r="J205" s="3">
        <v>0.05</v>
      </c>
      <c r="K205" s="4">
        <v>217.67150000000001</v>
      </c>
    </row>
    <row r="206" spans="1:11" x14ac:dyDescent="0.3">
      <c r="A206">
        <v>205</v>
      </c>
      <c r="B206" s="1">
        <v>45501</v>
      </c>
      <c r="C206">
        <v>2024</v>
      </c>
      <c r="D206" s="2" t="s">
        <v>36</v>
      </c>
      <c r="E206" s="2" t="s">
        <v>11</v>
      </c>
      <c r="F206" s="2" t="s">
        <v>18</v>
      </c>
      <c r="G206" s="2" t="s">
        <v>19</v>
      </c>
      <c r="H206" s="4">
        <v>4667</v>
      </c>
      <c r="I206" s="4">
        <v>3160.26</v>
      </c>
      <c r="J206" s="3">
        <v>0.05</v>
      </c>
      <c r="K206" s="4">
        <v>158.01300000000001</v>
      </c>
    </row>
    <row r="207" spans="1:11" x14ac:dyDescent="0.3">
      <c r="A207">
        <v>206</v>
      </c>
      <c r="B207" s="1">
        <v>45502</v>
      </c>
      <c r="C207">
        <v>2024</v>
      </c>
      <c r="D207" s="2" t="s">
        <v>36</v>
      </c>
      <c r="E207" s="2" t="s">
        <v>11</v>
      </c>
      <c r="F207" s="2" t="s">
        <v>14</v>
      </c>
      <c r="G207" s="2" t="s">
        <v>13</v>
      </c>
      <c r="H207" s="4">
        <v>4235</v>
      </c>
      <c r="I207" s="4">
        <v>5050.7700000000004</v>
      </c>
      <c r="J207" s="3">
        <v>0.05</v>
      </c>
      <c r="K207" s="4">
        <v>252.5385</v>
      </c>
    </row>
    <row r="208" spans="1:11" x14ac:dyDescent="0.3">
      <c r="A208">
        <v>207</v>
      </c>
      <c r="B208" s="1">
        <v>45503</v>
      </c>
      <c r="C208">
        <v>2024</v>
      </c>
      <c r="D208" s="2" t="s">
        <v>36</v>
      </c>
      <c r="E208" s="2" t="s">
        <v>11</v>
      </c>
      <c r="F208" s="2" t="s">
        <v>14</v>
      </c>
      <c r="G208" s="2" t="s">
        <v>19</v>
      </c>
      <c r="H208" s="4">
        <v>3121</v>
      </c>
      <c r="I208" s="4">
        <v>4176.26</v>
      </c>
      <c r="J208" s="3">
        <v>0.05</v>
      </c>
      <c r="K208" s="4">
        <v>208.81299999999999</v>
      </c>
    </row>
    <row r="209" spans="1:11" x14ac:dyDescent="0.3">
      <c r="A209">
        <v>208</v>
      </c>
      <c r="B209" s="1">
        <v>45504</v>
      </c>
      <c r="C209">
        <v>2024</v>
      </c>
      <c r="D209" s="2" t="s">
        <v>36</v>
      </c>
      <c r="E209" s="2" t="s">
        <v>8</v>
      </c>
      <c r="F209" s="2" t="s">
        <v>14</v>
      </c>
      <c r="G209" s="2" t="s">
        <v>13</v>
      </c>
      <c r="H209" s="4">
        <v>2130</v>
      </c>
      <c r="I209" s="4">
        <v>3077.03</v>
      </c>
      <c r="J209" s="3">
        <v>0.04</v>
      </c>
      <c r="K209" s="4">
        <v>123.0812</v>
      </c>
    </row>
    <row r="210" spans="1:11" x14ac:dyDescent="0.3">
      <c r="A210">
        <v>209</v>
      </c>
      <c r="B210" s="1">
        <v>45505</v>
      </c>
      <c r="C210">
        <v>2024</v>
      </c>
      <c r="D210" s="2" t="s">
        <v>37</v>
      </c>
      <c r="E210" s="2" t="s">
        <v>11</v>
      </c>
      <c r="F210" s="2" t="s">
        <v>21</v>
      </c>
      <c r="G210" s="2" t="s">
        <v>16</v>
      </c>
      <c r="H210" s="4">
        <v>4852</v>
      </c>
      <c r="I210" s="4">
        <v>5741.12</v>
      </c>
      <c r="J210" s="3">
        <v>0.05</v>
      </c>
      <c r="K210" s="4">
        <v>287.05599999999998</v>
      </c>
    </row>
    <row r="211" spans="1:11" x14ac:dyDescent="0.3">
      <c r="A211">
        <v>210</v>
      </c>
      <c r="B211" s="1">
        <v>45506</v>
      </c>
      <c r="C211">
        <v>2024</v>
      </c>
      <c r="D211" s="2" t="s">
        <v>37</v>
      </c>
      <c r="E211" s="2" t="s">
        <v>17</v>
      </c>
      <c r="F211" s="2" t="s">
        <v>15</v>
      </c>
      <c r="G211" s="2" t="s">
        <v>16</v>
      </c>
      <c r="H211" s="4">
        <v>3194</v>
      </c>
      <c r="I211" s="4">
        <v>3184.98</v>
      </c>
      <c r="J211" s="3">
        <v>7.0000000000000007E-2</v>
      </c>
      <c r="K211" s="4">
        <v>222.9486</v>
      </c>
    </row>
    <row r="212" spans="1:11" x14ac:dyDescent="0.3">
      <c r="A212">
        <v>211</v>
      </c>
      <c r="B212" s="1">
        <v>45507</v>
      </c>
      <c r="C212">
        <v>2024</v>
      </c>
      <c r="D212" s="2" t="s">
        <v>37</v>
      </c>
      <c r="E212" s="2" t="s">
        <v>17</v>
      </c>
      <c r="F212" s="2" t="s">
        <v>21</v>
      </c>
      <c r="G212" s="2" t="s">
        <v>10</v>
      </c>
      <c r="H212" s="4">
        <v>4983</v>
      </c>
      <c r="I212" s="4">
        <v>5570.23</v>
      </c>
      <c r="J212" s="3">
        <v>7.0000000000000007E-2</v>
      </c>
      <c r="K212" s="4">
        <v>389.91609999999997</v>
      </c>
    </row>
    <row r="213" spans="1:11" x14ac:dyDescent="0.3">
      <c r="A213">
        <v>212</v>
      </c>
      <c r="B213" s="1">
        <v>45508</v>
      </c>
      <c r="C213">
        <v>2024</v>
      </c>
      <c r="D213" s="2" t="s">
        <v>37</v>
      </c>
      <c r="E213" s="2" t="s">
        <v>17</v>
      </c>
      <c r="F213" s="2" t="s">
        <v>9</v>
      </c>
      <c r="G213" s="2" t="s">
        <v>16</v>
      </c>
      <c r="H213" s="4">
        <v>2182</v>
      </c>
      <c r="I213" s="4">
        <v>2986.95</v>
      </c>
      <c r="J213" s="3">
        <v>7.0000000000000007E-2</v>
      </c>
      <c r="K213" s="4">
        <v>209.0865</v>
      </c>
    </row>
    <row r="214" spans="1:11" x14ac:dyDescent="0.3">
      <c r="A214">
        <v>213</v>
      </c>
      <c r="B214" s="1">
        <v>45509</v>
      </c>
      <c r="C214">
        <v>2024</v>
      </c>
      <c r="D214" s="2" t="s">
        <v>37</v>
      </c>
      <c r="E214" s="2" t="s">
        <v>8</v>
      </c>
      <c r="F214" s="2" t="s">
        <v>18</v>
      </c>
      <c r="G214" s="2" t="s">
        <v>13</v>
      </c>
      <c r="H214" s="4">
        <v>2363</v>
      </c>
      <c r="I214" s="4">
        <v>2529.85</v>
      </c>
      <c r="J214" s="3">
        <v>0.04</v>
      </c>
      <c r="K214" s="4">
        <v>101.194</v>
      </c>
    </row>
    <row r="215" spans="1:11" x14ac:dyDescent="0.3">
      <c r="A215">
        <v>214</v>
      </c>
      <c r="B215" s="1">
        <v>45510</v>
      </c>
      <c r="C215">
        <v>2024</v>
      </c>
      <c r="D215" s="2" t="s">
        <v>37</v>
      </c>
      <c r="E215" s="2" t="s">
        <v>11</v>
      </c>
      <c r="F215" s="2" t="s">
        <v>15</v>
      </c>
      <c r="G215" s="2" t="s">
        <v>16</v>
      </c>
      <c r="H215" s="4">
        <v>2038</v>
      </c>
      <c r="I215" s="4">
        <v>1080.93</v>
      </c>
      <c r="J215" s="3">
        <v>0.05</v>
      </c>
      <c r="K215" s="4">
        <v>54.046500000000002</v>
      </c>
    </row>
    <row r="216" spans="1:11" x14ac:dyDescent="0.3">
      <c r="A216">
        <v>215</v>
      </c>
      <c r="B216" s="1">
        <v>45511</v>
      </c>
      <c r="C216">
        <v>2024</v>
      </c>
      <c r="D216" s="2" t="s">
        <v>37</v>
      </c>
      <c r="E216" s="2" t="s">
        <v>11</v>
      </c>
      <c r="F216" s="2" t="s">
        <v>15</v>
      </c>
      <c r="G216" s="2" t="s">
        <v>10</v>
      </c>
      <c r="H216" s="4">
        <v>4544</v>
      </c>
      <c r="I216" s="4">
        <v>6502.23</v>
      </c>
      <c r="J216" s="3">
        <v>0.05</v>
      </c>
      <c r="K216" s="4">
        <v>325.11149999999998</v>
      </c>
    </row>
    <row r="217" spans="1:11" x14ac:dyDescent="0.3">
      <c r="A217">
        <v>216</v>
      </c>
      <c r="B217" s="1">
        <v>45512</v>
      </c>
      <c r="C217">
        <v>2024</v>
      </c>
      <c r="D217" s="2" t="s">
        <v>37</v>
      </c>
      <c r="E217" s="2" t="s">
        <v>11</v>
      </c>
      <c r="F217" s="2" t="s">
        <v>15</v>
      </c>
      <c r="G217" s="2" t="s">
        <v>19</v>
      </c>
      <c r="H217" s="4">
        <v>3372</v>
      </c>
      <c r="I217" s="4">
        <v>4011.08</v>
      </c>
      <c r="J217" s="3">
        <v>0.05</v>
      </c>
      <c r="K217" s="4">
        <v>200.554</v>
      </c>
    </row>
    <row r="218" spans="1:11" x14ac:dyDescent="0.3">
      <c r="A218">
        <v>217</v>
      </c>
      <c r="B218" s="1">
        <v>45513</v>
      </c>
      <c r="C218">
        <v>2024</v>
      </c>
      <c r="D218" s="2" t="s">
        <v>37</v>
      </c>
      <c r="E218" s="2" t="s">
        <v>8</v>
      </c>
      <c r="F218" s="2" t="s">
        <v>20</v>
      </c>
      <c r="G218" s="2" t="s">
        <v>13</v>
      </c>
      <c r="H218" s="4">
        <v>2920</v>
      </c>
      <c r="I218" s="4">
        <v>3435.42</v>
      </c>
      <c r="J218" s="3">
        <v>0.04</v>
      </c>
      <c r="K218" s="4">
        <v>137.41679999999999</v>
      </c>
    </row>
    <row r="219" spans="1:11" x14ac:dyDescent="0.3">
      <c r="A219">
        <v>218</v>
      </c>
      <c r="B219" s="1">
        <v>45514</v>
      </c>
      <c r="C219">
        <v>2024</v>
      </c>
      <c r="D219" s="2" t="s">
        <v>37</v>
      </c>
      <c r="E219" s="2" t="s">
        <v>17</v>
      </c>
      <c r="F219" s="2" t="s">
        <v>15</v>
      </c>
      <c r="G219" s="2" t="s">
        <v>19</v>
      </c>
      <c r="H219" s="4">
        <v>4769</v>
      </c>
      <c r="I219" s="4">
        <v>3413.05</v>
      </c>
      <c r="J219" s="3">
        <v>7.0000000000000007E-2</v>
      </c>
      <c r="K219" s="4">
        <v>238.9135</v>
      </c>
    </row>
    <row r="220" spans="1:11" x14ac:dyDescent="0.3">
      <c r="A220">
        <v>219</v>
      </c>
      <c r="B220" s="1">
        <v>45515</v>
      </c>
      <c r="C220">
        <v>2024</v>
      </c>
      <c r="D220" s="2" t="s">
        <v>37</v>
      </c>
      <c r="E220" s="2" t="s">
        <v>17</v>
      </c>
      <c r="F220" s="2" t="s">
        <v>21</v>
      </c>
      <c r="G220" s="2" t="s">
        <v>10</v>
      </c>
      <c r="H220" s="4">
        <v>2015</v>
      </c>
      <c r="I220" s="4">
        <v>2335.15</v>
      </c>
      <c r="J220" s="3">
        <v>7.0000000000000007E-2</v>
      </c>
      <c r="K220" s="4">
        <v>163.4605</v>
      </c>
    </row>
    <row r="221" spans="1:11" x14ac:dyDescent="0.3">
      <c r="A221">
        <v>220</v>
      </c>
      <c r="B221" s="1">
        <v>45516</v>
      </c>
      <c r="C221">
        <v>2024</v>
      </c>
      <c r="D221" s="2" t="s">
        <v>37</v>
      </c>
      <c r="E221" s="2" t="s">
        <v>11</v>
      </c>
      <c r="F221" s="2" t="s">
        <v>15</v>
      </c>
      <c r="G221" s="2" t="s">
        <v>10</v>
      </c>
      <c r="H221" s="4">
        <v>2492</v>
      </c>
      <c r="I221" s="4">
        <v>2227.5100000000002</v>
      </c>
      <c r="J221" s="3">
        <v>0.05</v>
      </c>
      <c r="K221" s="4">
        <v>111.3755</v>
      </c>
    </row>
    <row r="222" spans="1:11" x14ac:dyDescent="0.3">
      <c r="A222">
        <v>221</v>
      </c>
      <c r="B222" s="1">
        <v>45517</v>
      </c>
      <c r="C222">
        <v>2024</v>
      </c>
      <c r="D222" s="2" t="s">
        <v>37</v>
      </c>
      <c r="E222" s="2" t="s">
        <v>17</v>
      </c>
      <c r="F222" s="2" t="s">
        <v>12</v>
      </c>
      <c r="G222" s="2" t="s">
        <v>10</v>
      </c>
      <c r="H222" s="4">
        <v>3449</v>
      </c>
      <c r="I222" s="4">
        <v>3970.6</v>
      </c>
      <c r="J222" s="3">
        <v>7.0000000000000007E-2</v>
      </c>
      <c r="K222" s="4">
        <v>277.94200000000001</v>
      </c>
    </row>
    <row r="223" spans="1:11" x14ac:dyDescent="0.3">
      <c r="A223">
        <v>222</v>
      </c>
      <c r="B223" s="1">
        <v>45518</v>
      </c>
      <c r="C223">
        <v>2024</v>
      </c>
      <c r="D223" s="2" t="s">
        <v>37</v>
      </c>
      <c r="E223" s="2" t="s">
        <v>17</v>
      </c>
      <c r="F223" s="2" t="s">
        <v>18</v>
      </c>
      <c r="G223" s="2" t="s">
        <v>19</v>
      </c>
      <c r="H223" s="4">
        <v>3131</v>
      </c>
      <c r="I223" s="4">
        <v>1899.24</v>
      </c>
      <c r="J223" s="3">
        <v>7.0000000000000007E-2</v>
      </c>
      <c r="K223" s="4">
        <v>132.9468</v>
      </c>
    </row>
    <row r="224" spans="1:11" x14ac:dyDescent="0.3">
      <c r="A224">
        <v>223</v>
      </c>
      <c r="B224" s="1">
        <v>45519</v>
      </c>
      <c r="C224">
        <v>2024</v>
      </c>
      <c r="D224" s="2" t="s">
        <v>37</v>
      </c>
      <c r="E224" s="2" t="s">
        <v>8</v>
      </c>
      <c r="F224" s="2" t="s">
        <v>15</v>
      </c>
      <c r="G224" s="2" t="s">
        <v>19</v>
      </c>
      <c r="H224" s="4">
        <v>4941</v>
      </c>
      <c r="I224" s="4">
        <v>5720.91</v>
      </c>
      <c r="J224" s="3">
        <v>0.04</v>
      </c>
      <c r="K224" s="4">
        <v>228.8364</v>
      </c>
    </row>
    <row r="225" spans="1:11" x14ac:dyDescent="0.3">
      <c r="A225">
        <v>224</v>
      </c>
      <c r="B225" s="1">
        <v>45520</v>
      </c>
      <c r="C225">
        <v>2024</v>
      </c>
      <c r="D225" s="2" t="s">
        <v>37</v>
      </c>
      <c r="E225" s="2" t="s">
        <v>8</v>
      </c>
      <c r="F225" s="2" t="s">
        <v>18</v>
      </c>
      <c r="G225" s="2" t="s">
        <v>19</v>
      </c>
      <c r="H225" s="4">
        <v>2310</v>
      </c>
      <c r="I225" s="4">
        <v>3463.65</v>
      </c>
      <c r="J225" s="3">
        <v>0.04</v>
      </c>
      <c r="K225" s="4">
        <v>138.54599999999999</v>
      </c>
    </row>
    <row r="226" spans="1:11" x14ac:dyDescent="0.3">
      <c r="A226">
        <v>225</v>
      </c>
      <c r="B226" s="1">
        <v>45521</v>
      </c>
      <c r="C226">
        <v>2024</v>
      </c>
      <c r="D226" s="2" t="s">
        <v>37</v>
      </c>
      <c r="E226" s="2" t="s">
        <v>8</v>
      </c>
      <c r="F226" s="2" t="s">
        <v>12</v>
      </c>
      <c r="G226" s="2" t="s">
        <v>19</v>
      </c>
      <c r="H226" s="4">
        <v>2738</v>
      </c>
      <c r="I226" s="4">
        <v>1501</v>
      </c>
      <c r="J226" s="3">
        <v>0.04</v>
      </c>
      <c r="K226" s="4">
        <v>60.04</v>
      </c>
    </row>
    <row r="227" spans="1:11" x14ac:dyDescent="0.3">
      <c r="A227">
        <v>226</v>
      </c>
      <c r="B227" s="1">
        <v>45522</v>
      </c>
      <c r="C227">
        <v>2024</v>
      </c>
      <c r="D227" s="2" t="s">
        <v>37</v>
      </c>
      <c r="E227" s="2" t="s">
        <v>8</v>
      </c>
      <c r="F227" s="2" t="s">
        <v>12</v>
      </c>
      <c r="G227" s="2" t="s">
        <v>10</v>
      </c>
      <c r="H227" s="4">
        <v>2545</v>
      </c>
      <c r="I227" s="4">
        <v>3759.41</v>
      </c>
      <c r="J227" s="3">
        <v>0.04</v>
      </c>
      <c r="K227" s="4">
        <v>150.37639999999999</v>
      </c>
    </row>
    <row r="228" spans="1:11" x14ac:dyDescent="0.3">
      <c r="A228">
        <v>227</v>
      </c>
      <c r="B228" s="1">
        <v>45523</v>
      </c>
      <c r="C228">
        <v>2024</v>
      </c>
      <c r="D228" s="2" t="s">
        <v>37</v>
      </c>
      <c r="E228" s="2" t="s">
        <v>11</v>
      </c>
      <c r="F228" s="2" t="s">
        <v>18</v>
      </c>
      <c r="G228" s="2" t="s">
        <v>10</v>
      </c>
      <c r="H228" s="4">
        <v>4461</v>
      </c>
      <c r="I228" s="4">
        <v>4045.72</v>
      </c>
      <c r="J228" s="3">
        <v>0.05</v>
      </c>
      <c r="K228" s="4">
        <v>202.286</v>
      </c>
    </row>
    <row r="229" spans="1:11" x14ac:dyDescent="0.3">
      <c r="A229">
        <v>228</v>
      </c>
      <c r="B229" s="1">
        <v>45524</v>
      </c>
      <c r="C229">
        <v>2024</v>
      </c>
      <c r="D229" s="2" t="s">
        <v>37</v>
      </c>
      <c r="E229" s="2" t="s">
        <v>8</v>
      </c>
      <c r="F229" s="2" t="s">
        <v>14</v>
      </c>
      <c r="G229" s="2" t="s">
        <v>13</v>
      </c>
      <c r="H229" s="4">
        <v>2250</v>
      </c>
      <c r="I229" s="4">
        <v>3084.2</v>
      </c>
      <c r="J229" s="3">
        <v>0.04</v>
      </c>
      <c r="K229" s="4">
        <v>123.36799999999999</v>
      </c>
    </row>
    <row r="230" spans="1:11" x14ac:dyDescent="0.3">
      <c r="A230">
        <v>229</v>
      </c>
      <c r="B230" s="1">
        <v>45525</v>
      </c>
      <c r="C230">
        <v>2024</v>
      </c>
      <c r="D230" s="2" t="s">
        <v>37</v>
      </c>
      <c r="E230" s="2" t="s">
        <v>17</v>
      </c>
      <c r="F230" s="2" t="s">
        <v>9</v>
      </c>
      <c r="G230" s="2" t="s">
        <v>13</v>
      </c>
      <c r="H230" s="4">
        <v>2758</v>
      </c>
      <c r="I230" s="4">
        <v>3536.82</v>
      </c>
      <c r="J230" s="3">
        <v>7.0000000000000007E-2</v>
      </c>
      <c r="K230" s="4">
        <v>247.57740000000001</v>
      </c>
    </row>
    <row r="231" spans="1:11" x14ac:dyDescent="0.3">
      <c r="A231">
        <v>230</v>
      </c>
      <c r="B231" s="1">
        <v>45526</v>
      </c>
      <c r="C231">
        <v>2024</v>
      </c>
      <c r="D231" s="2" t="s">
        <v>37</v>
      </c>
      <c r="E231" s="2" t="s">
        <v>11</v>
      </c>
      <c r="F231" s="2" t="s">
        <v>20</v>
      </c>
      <c r="G231" s="2" t="s">
        <v>19</v>
      </c>
      <c r="H231" s="4">
        <v>3804</v>
      </c>
      <c r="I231" s="4">
        <v>4058.93</v>
      </c>
      <c r="J231" s="3">
        <v>0.05</v>
      </c>
      <c r="K231" s="4">
        <v>202.94649999999999</v>
      </c>
    </row>
    <row r="232" spans="1:11" x14ac:dyDescent="0.3">
      <c r="A232">
        <v>231</v>
      </c>
      <c r="B232" s="1">
        <v>45527</v>
      </c>
      <c r="C232">
        <v>2024</v>
      </c>
      <c r="D232" s="2" t="s">
        <v>37</v>
      </c>
      <c r="E232" s="2" t="s">
        <v>17</v>
      </c>
      <c r="F232" s="2" t="s">
        <v>14</v>
      </c>
      <c r="G232" s="2" t="s">
        <v>16</v>
      </c>
      <c r="H232" s="4">
        <v>3297</v>
      </c>
      <c r="I232" s="4">
        <v>4083.17</v>
      </c>
      <c r="J232" s="3">
        <v>7.0000000000000007E-2</v>
      </c>
      <c r="K232" s="4">
        <v>285.82190000000003</v>
      </c>
    </row>
    <row r="233" spans="1:11" x14ac:dyDescent="0.3">
      <c r="A233">
        <v>232</v>
      </c>
      <c r="B233" s="1">
        <v>45528</v>
      </c>
      <c r="C233">
        <v>2024</v>
      </c>
      <c r="D233" s="2" t="s">
        <v>37</v>
      </c>
      <c r="E233" s="2" t="s">
        <v>17</v>
      </c>
      <c r="F233" s="2" t="s">
        <v>14</v>
      </c>
      <c r="G233" s="2" t="s">
        <v>16</v>
      </c>
      <c r="H233" s="4">
        <v>3631</v>
      </c>
      <c r="I233" s="4">
        <v>5005.3900000000003</v>
      </c>
      <c r="J233" s="3">
        <v>7.0000000000000007E-2</v>
      </c>
      <c r="K233" s="4">
        <v>350.37729999999999</v>
      </c>
    </row>
    <row r="234" spans="1:11" x14ac:dyDescent="0.3">
      <c r="A234">
        <v>233</v>
      </c>
      <c r="B234" s="1">
        <v>45529</v>
      </c>
      <c r="C234">
        <v>2024</v>
      </c>
      <c r="D234" s="2" t="s">
        <v>37</v>
      </c>
      <c r="E234" s="2" t="s">
        <v>17</v>
      </c>
      <c r="F234" s="2" t="s">
        <v>21</v>
      </c>
      <c r="G234" s="2" t="s">
        <v>10</v>
      </c>
      <c r="H234" s="4">
        <v>3914</v>
      </c>
      <c r="I234" s="4">
        <v>3538.81</v>
      </c>
      <c r="J234" s="3">
        <v>7.0000000000000007E-2</v>
      </c>
      <c r="K234" s="4">
        <v>247.7167</v>
      </c>
    </row>
    <row r="235" spans="1:11" x14ac:dyDescent="0.3">
      <c r="A235">
        <v>234</v>
      </c>
      <c r="B235" s="1">
        <v>45530</v>
      </c>
      <c r="C235">
        <v>2024</v>
      </c>
      <c r="D235" s="2" t="s">
        <v>37</v>
      </c>
      <c r="E235" s="2" t="s">
        <v>8</v>
      </c>
      <c r="F235" s="2" t="s">
        <v>20</v>
      </c>
      <c r="G235" s="2" t="s">
        <v>10</v>
      </c>
      <c r="H235" s="4">
        <v>2813</v>
      </c>
      <c r="I235" s="4">
        <v>2326.44</v>
      </c>
      <c r="J235" s="3">
        <v>0.04</v>
      </c>
      <c r="K235" s="4">
        <v>93.057599999999994</v>
      </c>
    </row>
    <row r="236" spans="1:11" x14ac:dyDescent="0.3">
      <c r="A236">
        <v>235</v>
      </c>
      <c r="B236" s="1">
        <v>45531</v>
      </c>
      <c r="C236">
        <v>2024</v>
      </c>
      <c r="D236" s="2" t="s">
        <v>37</v>
      </c>
      <c r="E236" s="2" t="s">
        <v>8</v>
      </c>
      <c r="F236" s="2" t="s">
        <v>20</v>
      </c>
      <c r="G236" s="2" t="s">
        <v>10</v>
      </c>
      <c r="H236" s="4">
        <v>2028</v>
      </c>
      <c r="I236" s="4">
        <v>2367.88</v>
      </c>
      <c r="J236" s="3">
        <v>0.04</v>
      </c>
      <c r="K236" s="4">
        <v>94.715199999999996</v>
      </c>
    </row>
    <row r="237" spans="1:11" x14ac:dyDescent="0.3">
      <c r="A237">
        <v>236</v>
      </c>
      <c r="B237" s="1">
        <v>45533</v>
      </c>
      <c r="C237">
        <v>2024</v>
      </c>
      <c r="D237" s="2" t="s">
        <v>37</v>
      </c>
      <c r="E237" s="2" t="s">
        <v>11</v>
      </c>
      <c r="F237" s="2" t="s">
        <v>15</v>
      </c>
      <c r="G237" s="2" t="s">
        <v>13</v>
      </c>
      <c r="H237" s="4">
        <v>4032</v>
      </c>
      <c r="I237" s="4">
        <v>5089.53</v>
      </c>
      <c r="J237" s="3">
        <v>0.05</v>
      </c>
      <c r="K237" s="4">
        <v>254.47649999999999</v>
      </c>
    </row>
    <row r="238" spans="1:11" x14ac:dyDescent="0.3">
      <c r="A238">
        <v>237</v>
      </c>
      <c r="B238" s="1">
        <v>45534</v>
      </c>
      <c r="C238">
        <v>2024</v>
      </c>
      <c r="D238" s="2" t="s">
        <v>37</v>
      </c>
      <c r="E238" s="2" t="s">
        <v>8</v>
      </c>
      <c r="F238" s="2" t="s">
        <v>21</v>
      </c>
      <c r="G238" s="2" t="s">
        <v>10</v>
      </c>
      <c r="H238" s="4">
        <v>2476</v>
      </c>
      <c r="I238" s="4">
        <v>3213.39</v>
      </c>
      <c r="J238" s="3">
        <v>0.04</v>
      </c>
      <c r="K238" s="4">
        <v>128.53559999999999</v>
      </c>
    </row>
    <row r="239" spans="1:11" x14ac:dyDescent="0.3">
      <c r="A239">
        <v>238</v>
      </c>
      <c r="B239" s="1">
        <v>45535</v>
      </c>
      <c r="C239">
        <v>2024</v>
      </c>
      <c r="D239" s="2" t="s">
        <v>37</v>
      </c>
      <c r="E239" s="2" t="s">
        <v>17</v>
      </c>
      <c r="F239" s="2" t="s">
        <v>21</v>
      </c>
      <c r="G239" s="2" t="s">
        <v>10</v>
      </c>
      <c r="H239" s="4">
        <v>2317</v>
      </c>
      <c r="I239" s="4">
        <v>2167.75</v>
      </c>
      <c r="J239" s="3">
        <v>7.0000000000000007E-2</v>
      </c>
      <c r="K239" s="4">
        <v>151.74250000000001</v>
      </c>
    </row>
    <row r="240" spans="1:11" x14ac:dyDescent="0.3">
      <c r="A240">
        <v>239</v>
      </c>
      <c r="B240" s="1">
        <v>45536</v>
      </c>
      <c r="C240">
        <v>2024</v>
      </c>
      <c r="D240" s="2" t="s">
        <v>38</v>
      </c>
      <c r="E240" s="2" t="s">
        <v>11</v>
      </c>
      <c r="F240" s="2" t="s">
        <v>12</v>
      </c>
      <c r="G240" s="2" t="s">
        <v>10</v>
      </c>
      <c r="H240" s="4">
        <v>2244</v>
      </c>
      <c r="I240" s="4">
        <v>2957.22</v>
      </c>
      <c r="J240" s="3">
        <v>0.05</v>
      </c>
      <c r="K240" s="4">
        <v>147.86099999999999</v>
      </c>
    </row>
    <row r="241" spans="1:11" x14ac:dyDescent="0.3">
      <c r="A241">
        <v>240</v>
      </c>
      <c r="B241" s="1">
        <v>45537</v>
      </c>
      <c r="C241">
        <v>2024</v>
      </c>
      <c r="D241" s="2" t="s">
        <v>38</v>
      </c>
      <c r="E241" s="2" t="s">
        <v>8</v>
      </c>
      <c r="F241" s="2" t="s">
        <v>20</v>
      </c>
      <c r="G241" s="2" t="s">
        <v>16</v>
      </c>
      <c r="H241" s="4">
        <v>2747</v>
      </c>
      <c r="I241" s="4">
        <v>1703.71</v>
      </c>
      <c r="J241" s="3">
        <v>0.04</v>
      </c>
      <c r="K241" s="4">
        <v>68.148399999999995</v>
      </c>
    </row>
    <row r="242" spans="1:11" x14ac:dyDescent="0.3">
      <c r="A242">
        <v>241</v>
      </c>
      <c r="B242" s="1">
        <v>45538</v>
      </c>
      <c r="C242">
        <v>2024</v>
      </c>
      <c r="D242" s="2" t="s">
        <v>38</v>
      </c>
      <c r="E242" s="2" t="s">
        <v>8</v>
      </c>
      <c r="F242" s="2" t="s">
        <v>14</v>
      </c>
      <c r="G242" s="2" t="s">
        <v>13</v>
      </c>
      <c r="H242" s="4">
        <v>2696</v>
      </c>
      <c r="I242" s="4">
        <v>2815.94</v>
      </c>
      <c r="J242" s="3">
        <v>0.04</v>
      </c>
      <c r="K242" s="4">
        <v>112.63760000000001</v>
      </c>
    </row>
    <row r="243" spans="1:11" x14ac:dyDescent="0.3">
      <c r="A243">
        <v>242</v>
      </c>
      <c r="B243" s="1">
        <v>45539</v>
      </c>
      <c r="C243">
        <v>2024</v>
      </c>
      <c r="D243" s="2" t="s">
        <v>38</v>
      </c>
      <c r="E243" s="2" t="s">
        <v>8</v>
      </c>
      <c r="F243" s="2" t="s">
        <v>12</v>
      </c>
      <c r="G243" s="2" t="s">
        <v>16</v>
      </c>
      <c r="H243" s="4">
        <v>2271</v>
      </c>
      <c r="I243" s="4">
        <v>1148.58</v>
      </c>
      <c r="J243" s="3">
        <v>0.04</v>
      </c>
      <c r="K243" s="4">
        <v>45.943199999999997</v>
      </c>
    </row>
    <row r="244" spans="1:11" x14ac:dyDescent="0.3">
      <c r="A244">
        <v>243</v>
      </c>
      <c r="B244" s="1">
        <v>45540</v>
      </c>
      <c r="C244">
        <v>2024</v>
      </c>
      <c r="D244" s="2" t="s">
        <v>38</v>
      </c>
      <c r="E244" s="2" t="s">
        <v>17</v>
      </c>
      <c r="F244" s="2" t="s">
        <v>18</v>
      </c>
      <c r="G244" s="2" t="s">
        <v>16</v>
      </c>
      <c r="H244" s="4">
        <v>3771</v>
      </c>
      <c r="I244" s="4">
        <v>3109.51</v>
      </c>
      <c r="J244" s="3">
        <v>7.0000000000000007E-2</v>
      </c>
      <c r="K244" s="4">
        <v>217.66569999999999</v>
      </c>
    </row>
    <row r="245" spans="1:11" x14ac:dyDescent="0.3">
      <c r="A245">
        <v>244</v>
      </c>
      <c r="B245" s="1">
        <v>45541</v>
      </c>
      <c r="C245">
        <v>2024</v>
      </c>
      <c r="D245" s="2" t="s">
        <v>38</v>
      </c>
      <c r="E245" s="2" t="s">
        <v>8</v>
      </c>
      <c r="F245" s="2" t="s">
        <v>9</v>
      </c>
      <c r="G245" s="2" t="s">
        <v>10</v>
      </c>
      <c r="H245" s="4">
        <v>3262</v>
      </c>
      <c r="I245" s="4">
        <v>2826.4</v>
      </c>
      <c r="J245" s="3">
        <v>0.04</v>
      </c>
      <c r="K245" s="4">
        <v>113.056</v>
      </c>
    </row>
    <row r="246" spans="1:11" x14ac:dyDescent="0.3">
      <c r="A246">
        <v>245</v>
      </c>
      <c r="B246" s="1">
        <v>45542</v>
      </c>
      <c r="C246">
        <v>2024</v>
      </c>
      <c r="D246" s="2" t="s">
        <v>38</v>
      </c>
      <c r="E246" s="2" t="s">
        <v>8</v>
      </c>
      <c r="F246" s="2" t="s">
        <v>21</v>
      </c>
      <c r="G246" s="2" t="s">
        <v>10</v>
      </c>
      <c r="H246" s="4">
        <v>4424</v>
      </c>
      <c r="I246" s="4">
        <v>3964.67</v>
      </c>
      <c r="J246" s="3">
        <v>0.04</v>
      </c>
      <c r="K246" s="4">
        <v>158.58680000000001</v>
      </c>
    </row>
    <row r="247" spans="1:11" x14ac:dyDescent="0.3">
      <c r="A247">
        <v>246</v>
      </c>
      <c r="B247" s="1">
        <v>45543</v>
      </c>
      <c r="C247">
        <v>2024</v>
      </c>
      <c r="D247" s="2" t="s">
        <v>38</v>
      </c>
      <c r="E247" s="2" t="s">
        <v>8</v>
      </c>
      <c r="F247" s="2" t="s">
        <v>18</v>
      </c>
      <c r="G247" s="2" t="s">
        <v>19</v>
      </c>
      <c r="H247" s="4">
        <v>2265</v>
      </c>
      <c r="I247" s="4">
        <v>2707.73</v>
      </c>
      <c r="J247" s="3">
        <v>0.04</v>
      </c>
      <c r="K247" s="4">
        <v>108.3092</v>
      </c>
    </row>
    <row r="248" spans="1:11" x14ac:dyDescent="0.3">
      <c r="A248">
        <v>247</v>
      </c>
      <c r="B248" s="1">
        <v>45544</v>
      </c>
      <c r="C248">
        <v>2024</v>
      </c>
      <c r="D248" s="2" t="s">
        <v>38</v>
      </c>
      <c r="E248" s="2" t="s">
        <v>8</v>
      </c>
      <c r="F248" s="2" t="s">
        <v>18</v>
      </c>
      <c r="G248" s="2" t="s">
        <v>19</v>
      </c>
      <c r="H248" s="4">
        <v>4973</v>
      </c>
      <c r="I248" s="4">
        <v>4418.8</v>
      </c>
      <c r="J248" s="3">
        <v>0.04</v>
      </c>
      <c r="K248" s="4">
        <v>176.75200000000001</v>
      </c>
    </row>
    <row r="249" spans="1:11" x14ac:dyDescent="0.3">
      <c r="A249">
        <v>248</v>
      </c>
      <c r="B249" s="1">
        <v>45545</v>
      </c>
      <c r="C249">
        <v>2024</v>
      </c>
      <c r="D249" s="2" t="s">
        <v>38</v>
      </c>
      <c r="E249" s="2" t="s">
        <v>11</v>
      </c>
      <c r="F249" s="2" t="s">
        <v>15</v>
      </c>
      <c r="G249" s="2" t="s">
        <v>16</v>
      </c>
      <c r="H249" s="4">
        <v>2920</v>
      </c>
      <c r="I249" s="4">
        <v>2770.19</v>
      </c>
      <c r="J249" s="3">
        <v>0.05</v>
      </c>
      <c r="K249" s="4">
        <v>138.5095</v>
      </c>
    </row>
    <row r="250" spans="1:11" x14ac:dyDescent="0.3">
      <c r="A250">
        <v>249</v>
      </c>
      <c r="B250" s="1">
        <v>45546</v>
      </c>
      <c r="C250">
        <v>2024</v>
      </c>
      <c r="D250" s="2" t="s">
        <v>38</v>
      </c>
      <c r="E250" s="2" t="s">
        <v>11</v>
      </c>
      <c r="F250" s="2" t="s">
        <v>9</v>
      </c>
      <c r="G250" s="2" t="s">
        <v>13</v>
      </c>
      <c r="H250" s="4">
        <v>2339</v>
      </c>
      <c r="I250" s="4">
        <v>1725.12</v>
      </c>
      <c r="J250" s="3">
        <v>0.05</v>
      </c>
      <c r="K250" s="4">
        <v>86.256</v>
      </c>
    </row>
    <row r="251" spans="1:11" x14ac:dyDescent="0.3">
      <c r="A251">
        <v>250</v>
      </c>
      <c r="B251" s="1">
        <v>45547</v>
      </c>
      <c r="C251">
        <v>2024</v>
      </c>
      <c r="D251" s="2" t="s">
        <v>38</v>
      </c>
      <c r="E251" s="2" t="s">
        <v>8</v>
      </c>
      <c r="F251" s="2" t="s">
        <v>18</v>
      </c>
      <c r="G251" s="2" t="s">
        <v>10</v>
      </c>
      <c r="H251" s="4">
        <v>2388</v>
      </c>
      <c r="I251" s="4">
        <v>2085.33</v>
      </c>
      <c r="J251" s="3">
        <v>0.04</v>
      </c>
      <c r="K251" s="4">
        <v>83.413200000000003</v>
      </c>
    </row>
    <row r="252" spans="1:11" x14ac:dyDescent="0.3">
      <c r="A252">
        <v>251</v>
      </c>
      <c r="B252" s="1">
        <v>45548</v>
      </c>
      <c r="C252">
        <v>2024</v>
      </c>
      <c r="D252" s="2" t="s">
        <v>38</v>
      </c>
      <c r="E252" s="2" t="s">
        <v>17</v>
      </c>
      <c r="F252" s="2" t="s">
        <v>18</v>
      </c>
      <c r="G252" s="2" t="s">
        <v>10</v>
      </c>
      <c r="H252" s="4">
        <v>4624</v>
      </c>
      <c r="I252" s="4">
        <v>3362.89</v>
      </c>
      <c r="J252" s="3">
        <v>7.0000000000000007E-2</v>
      </c>
      <c r="K252" s="4">
        <v>235.4023</v>
      </c>
    </row>
    <row r="253" spans="1:11" x14ac:dyDescent="0.3">
      <c r="A253">
        <v>252</v>
      </c>
      <c r="B253" s="1">
        <v>45549</v>
      </c>
      <c r="C253">
        <v>2024</v>
      </c>
      <c r="D253" s="2" t="s">
        <v>38</v>
      </c>
      <c r="E253" s="2" t="s">
        <v>11</v>
      </c>
      <c r="F253" s="2" t="s">
        <v>9</v>
      </c>
      <c r="G253" s="2" t="s">
        <v>16</v>
      </c>
      <c r="H253" s="4">
        <v>4050</v>
      </c>
      <c r="I253" s="4">
        <v>2321.44</v>
      </c>
      <c r="J253" s="3">
        <v>0.05</v>
      </c>
      <c r="K253" s="4">
        <v>116.072</v>
      </c>
    </row>
    <row r="254" spans="1:11" x14ac:dyDescent="0.3">
      <c r="A254">
        <v>253</v>
      </c>
      <c r="B254" s="1">
        <v>45550</v>
      </c>
      <c r="C254">
        <v>2024</v>
      </c>
      <c r="D254" s="2" t="s">
        <v>38</v>
      </c>
      <c r="E254" s="2" t="s">
        <v>8</v>
      </c>
      <c r="F254" s="2" t="s">
        <v>9</v>
      </c>
      <c r="G254" s="2" t="s">
        <v>19</v>
      </c>
      <c r="H254" s="4">
        <v>3165</v>
      </c>
      <c r="I254" s="4">
        <v>3492.41</v>
      </c>
      <c r="J254" s="3">
        <v>0.04</v>
      </c>
      <c r="K254" s="4">
        <v>139.69640000000001</v>
      </c>
    </row>
    <row r="255" spans="1:11" x14ac:dyDescent="0.3">
      <c r="A255">
        <v>254</v>
      </c>
      <c r="B255" s="1">
        <v>45551</v>
      </c>
      <c r="C255">
        <v>2024</v>
      </c>
      <c r="D255" s="2" t="s">
        <v>38</v>
      </c>
      <c r="E255" s="2" t="s">
        <v>11</v>
      </c>
      <c r="F255" s="2" t="s">
        <v>18</v>
      </c>
      <c r="G255" s="2" t="s">
        <v>13</v>
      </c>
      <c r="H255" s="4">
        <v>2375</v>
      </c>
      <c r="I255" s="4">
        <v>2774.51</v>
      </c>
      <c r="J255" s="3">
        <v>0.05</v>
      </c>
      <c r="K255" s="4">
        <v>138.72550000000001</v>
      </c>
    </row>
    <row r="256" spans="1:11" x14ac:dyDescent="0.3">
      <c r="A256">
        <v>255</v>
      </c>
      <c r="B256" s="1">
        <v>45552</v>
      </c>
      <c r="C256">
        <v>2024</v>
      </c>
      <c r="D256" s="2" t="s">
        <v>38</v>
      </c>
      <c r="E256" s="2" t="s">
        <v>11</v>
      </c>
      <c r="F256" s="2" t="s">
        <v>9</v>
      </c>
      <c r="G256" s="2" t="s">
        <v>19</v>
      </c>
      <c r="H256" s="4">
        <v>4033</v>
      </c>
      <c r="I256" s="4">
        <v>4514.8999999999996</v>
      </c>
      <c r="J256" s="3">
        <v>0.05</v>
      </c>
      <c r="K256" s="4">
        <v>225.745</v>
      </c>
    </row>
    <row r="257" spans="1:11" x14ac:dyDescent="0.3">
      <c r="A257">
        <v>256</v>
      </c>
      <c r="B257" s="1">
        <v>45553</v>
      </c>
      <c r="C257">
        <v>2024</v>
      </c>
      <c r="D257" s="2" t="s">
        <v>38</v>
      </c>
      <c r="E257" s="2" t="s">
        <v>17</v>
      </c>
      <c r="F257" s="2" t="s">
        <v>18</v>
      </c>
      <c r="G257" s="2" t="s">
        <v>19</v>
      </c>
      <c r="H257" s="4">
        <v>4371</v>
      </c>
      <c r="I257" s="4">
        <v>4211.43</v>
      </c>
      <c r="J257" s="3">
        <v>7.0000000000000007E-2</v>
      </c>
      <c r="K257" s="4">
        <v>294.80009999999999</v>
      </c>
    </row>
    <row r="258" spans="1:11" x14ac:dyDescent="0.3">
      <c r="A258">
        <v>257</v>
      </c>
      <c r="B258" s="1">
        <v>45554</v>
      </c>
      <c r="C258">
        <v>2024</v>
      </c>
      <c r="D258" s="2" t="s">
        <v>38</v>
      </c>
      <c r="E258" s="2" t="s">
        <v>8</v>
      </c>
      <c r="F258" s="2" t="s">
        <v>18</v>
      </c>
      <c r="G258" s="2" t="s">
        <v>19</v>
      </c>
      <c r="H258" s="4">
        <v>2145</v>
      </c>
      <c r="I258" s="4">
        <v>1887.14</v>
      </c>
      <c r="J258" s="3">
        <v>0.04</v>
      </c>
      <c r="K258" s="4">
        <v>75.485600000000005</v>
      </c>
    </row>
    <row r="259" spans="1:11" x14ac:dyDescent="0.3">
      <c r="A259">
        <v>258</v>
      </c>
      <c r="B259" s="1">
        <v>45555</v>
      </c>
      <c r="C259">
        <v>2024</v>
      </c>
      <c r="D259" s="2" t="s">
        <v>38</v>
      </c>
      <c r="E259" s="2" t="s">
        <v>8</v>
      </c>
      <c r="F259" s="2" t="s">
        <v>15</v>
      </c>
      <c r="G259" s="2" t="s">
        <v>19</v>
      </c>
      <c r="H259" s="4">
        <v>3981</v>
      </c>
      <c r="I259" s="4">
        <v>5427.43</v>
      </c>
      <c r="J259" s="3">
        <v>0.04</v>
      </c>
      <c r="K259" s="4">
        <v>217.09719999999999</v>
      </c>
    </row>
    <row r="260" spans="1:11" x14ac:dyDescent="0.3">
      <c r="A260">
        <v>259</v>
      </c>
      <c r="B260" s="1">
        <v>45556</v>
      </c>
      <c r="C260">
        <v>2024</v>
      </c>
      <c r="D260" s="2" t="s">
        <v>38</v>
      </c>
      <c r="E260" s="2" t="s">
        <v>17</v>
      </c>
      <c r="F260" s="2" t="s">
        <v>14</v>
      </c>
      <c r="G260" s="2" t="s">
        <v>10</v>
      </c>
      <c r="H260" s="4">
        <v>2292</v>
      </c>
      <c r="I260" s="4">
        <v>2335.7399999999998</v>
      </c>
      <c r="J260" s="3">
        <v>7.0000000000000007E-2</v>
      </c>
      <c r="K260" s="4">
        <v>163.5018</v>
      </c>
    </row>
    <row r="261" spans="1:11" x14ac:dyDescent="0.3">
      <c r="A261">
        <v>260</v>
      </c>
      <c r="B261" s="1">
        <v>45557</v>
      </c>
      <c r="C261">
        <v>2024</v>
      </c>
      <c r="D261" s="2" t="s">
        <v>38</v>
      </c>
      <c r="E261" s="2" t="s">
        <v>17</v>
      </c>
      <c r="F261" s="2" t="s">
        <v>18</v>
      </c>
      <c r="G261" s="2" t="s">
        <v>10</v>
      </c>
      <c r="H261" s="4">
        <v>2431</v>
      </c>
      <c r="I261" s="4">
        <v>2380.39</v>
      </c>
      <c r="J261" s="3">
        <v>7.0000000000000007E-2</v>
      </c>
      <c r="K261" s="4">
        <v>166.62729999999999</v>
      </c>
    </row>
    <row r="262" spans="1:11" x14ac:dyDescent="0.3">
      <c r="A262">
        <v>261</v>
      </c>
      <c r="B262" s="1">
        <v>45559</v>
      </c>
      <c r="C262">
        <v>2024</v>
      </c>
      <c r="D262" s="2" t="s">
        <v>38</v>
      </c>
      <c r="E262" s="2" t="s">
        <v>8</v>
      </c>
      <c r="F262" s="2" t="s">
        <v>21</v>
      </c>
      <c r="G262" s="2" t="s">
        <v>13</v>
      </c>
      <c r="H262" s="4">
        <v>4996</v>
      </c>
      <c r="I262" s="4">
        <v>4202.87</v>
      </c>
      <c r="J262" s="3">
        <v>0.04</v>
      </c>
      <c r="K262" s="4">
        <v>168.1148</v>
      </c>
    </row>
    <row r="263" spans="1:11" x14ac:dyDescent="0.3">
      <c r="A263">
        <v>262</v>
      </c>
      <c r="B263" s="1">
        <v>45560</v>
      </c>
      <c r="C263">
        <v>2024</v>
      </c>
      <c r="D263" s="2" t="s">
        <v>38</v>
      </c>
      <c r="E263" s="2" t="s">
        <v>17</v>
      </c>
      <c r="F263" s="2" t="s">
        <v>20</v>
      </c>
      <c r="G263" s="2" t="s">
        <v>16</v>
      </c>
      <c r="H263" s="4">
        <v>3998</v>
      </c>
      <c r="I263" s="4">
        <v>3519.02</v>
      </c>
      <c r="J263" s="3">
        <v>7.0000000000000007E-2</v>
      </c>
      <c r="K263" s="4">
        <v>246.3314</v>
      </c>
    </row>
    <row r="264" spans="1:11" x14ac:dyDescent="0.3">
      <c r="A264">
        <v>263</v>
      </c>
      <c r="B264" s="1">
        <v>45561</v>
      </c>
      <c r="C264">
        <v>2024</v>
      </c>
      <c r="D264" s="2" t="s">
        <v>38</v>
      </c>
      <c r="E264" s="2" t="s">
        <v>11</v>
      </c>
      <c r="F264" s="2" t="s">
        <v>14</v>
      </c>
      <c r="G264" s="2" t="s">
        <v>13</v>
      </c>
      <c r="H264" s="4">
        <v>4632</v>
      </c>
      <c r="I264" s="4">
        <v>4163.3500000000004</v>
      </c>
      <c r="J264" s="3">
        <v>0.05</v>
      </c>
      <c r="K264" s="4">
        <v>208.16749999999999</v>
      </c>
    </row>
    <row r="265" spans="1:11" x14ac:dyDescent="0.3">
      <c r="A265">
        <v>264</v>
      </c>
      <c r="B265" s="1">
        <v>45562</v>
      </c>
      <c r="C265">
        <v>2024</v>
      </c>
      <c r="D265" s="2" t="s">
        <v>38</v>
      </c>
      <c r="E265" s="2" t="s">
        <v>11</v>
      </c>
      <c r="F265" s="2" t="s">
        <v>14</v>
      </c>
      <c r="G265" s="2" t="s">
        <v>13</v>
      </c>
      <c r="H265" s="4">
        <v>2398</v>
      </c>
      <c r="I265" s="4">
        <v>2590.25</v>
      </c>
      <c r="J265" s="3">
        <v>0.05</v>
      </c>
      <c r="K265" s="4">
        <v>129.51249999999999</v>
      </c>
    </row>
    <row r="266" spans="1:11" x14ac:dyDescent="0.3">
      <c r="A266">
        <v>265</v>
      </c>
      <c r="B266" s="1">
        <v>45563</v>
      </c>
      <c r="C266">
        <v>2024</v>
      </c>
      <c r="D266" s="2" t="s">
        <v>38</v>
      </c>
      <c r="E266" s="2" t="s">
        <v>17</v>
      </c>
      <c r="F266" s="2" t="s">
        <v>14</v>
      </c>
      <c r="G266" s="2" t="s">
        <v>13</v>
      </c>
      <c r="H266" s="4">
        <v>4864</v>
      </c>
      <c r="I266" s="4">
        <v>5027.4399999999996</v>
      </c>
      <c r="J266" s="3">
        <v>7.0000000000000007E-2</v>
      </c>
      <c r="K266" s="4">
        <v>351.92079999999999</v>
      </c>
    </row>
    <row r="267" spans="1:11" x14ac:dyDescent="0.3">
      <c r="A267">
        <v>266</v>
      </c>
      <c r="B267" s="1">
        <v>45564</v>
      </c>
      <c r="C267">
        <v>2024</v>
      </c>
      <c r="D267" s="2" t="s">
        <v>38</v>
      </c>
      <c r="E267" s="2" t="s">
        <v>11</v>
      </c>
      <c r="F267" s="2" t="s">
        <v>15</v>
      </c>
      <c r="G267" s="2" t="s">
        <v>19</v>
      </c>
      <c r="H267" s="4">
        <v>2963</v>
      </c>
      <c r="I267" s="4">
        <v>3282.72</v>
      </c>
      <c r="J267" s="3">
        <v>0.05</v>
      </c>
      <c r="K267" s="4">
        <v>164.136</v>
      </c>
    </row>
    <row r="268" spans="1:11" x14ac:dyDescent="0.3">
      <c r="A268">
        <v>267</v>
      </c>
      <c r="B268" s="1">
        <v>45565</v>
      </c>
      <c r="C268">
        <v>2024</v>
      </c>
      <c r="D268" s="2" t="s">
        <v>38</v>
      </c>
      <c r="E268" s="2" t="s">
        <v>17</v>
      </c>
      <c r="F268" s="2" t="s">
        <v>18</v>
      </c>
      <c r="G268" s="2" t="s">
        <v>10</v>
      </c>
      <c r="H268" s="4">
        <v>4234</v>
      </c>
      <c r="I268" s="4">
        <v>5355.52</v>
      </c>
      <c r="J268" s="3">
        <v>7.0000000000000007E-2</v>
      </c>
      <c r="K268" s="4">
        <v>374.88639999999998</v>
      </c>
    </row>
    <row r="269" spans="1:11" x14ac:dyDescent="0.3">
      <c r="A269">
        <v>268</v>
      </c>
      <c r="B269" s="1">
        <v>45566</v>
      </c>
      <c r="C269">
        <v>2024</v>
      </c>
      <c r="D269" s="2" t="s">
        <v>39</v>
      </c>
      <c r="E269" s="2" t="s">
        <v>11</v>
      </c>
      <c r="F269" s="2" t="s">
        <v>15</v>
      </c>
      <c r="G269" s="2" t="s">
        <v>13</v>
      </c>
      <c r="H269" s="4">
        <v>4041</v>
      </c>
      <c r="I269" s="4">
        <v>5305.78</v>
      </c>
      <c r="J269" s="3">
        <v>0.05</v>
      </c>
      <c r="K269" s="4">
        <v>265.28899999999999</v>
      </c>
    </row>
    <row r="270" spans="1:11" x14ac:dyDescent="0.3">
      <c r="A270">
        <v>269</v>
      </c>
      <c r="B270" s="1">
        <v>45567</v>
      </c>
      <c r="C270">
        <v>2024</v>
      </c>
      <c r="D270" s="2" t="s">
        <v>39</v>
      </c>
      <c r="E270" s="2" t="s">
        <v>11</v>
      </c>
      <c r="F270" s="2" t="s">
        <v>18</v>
      </c>
      <c r="G270" s="2" t="s">
        <v>19</v>
      </c>
      <c r="H270" s="4">
        <v>3828</v>
      </c>
      <c r="I270" s="4">
        <v>4662.9799999999996</v>
      </c>
      <c r="J270" s="3">
        <v>0.05</v>
      </c>
      <c r="K270" s="4">
        <v>233.149</v>
      </c>
    </row>
    <row r="271" spans="1:11" x14ac:dyDescent="0.3">
      <c r="A271">
        <v>270</v>
      </c>
      <c r="B271" s="1">
        <v>45568</v>
      </c>
      <c r="C271">
        <v>2024</v>
      </c>
      <c r="D271" s="2" t="s">
        <v>39</v>
      </c>
      <c r="E271" s="2" t="s">
        <v>8</v>
      </c>
      <c r="F271" s="2" t="s">
        <v>15</v>
      </c>
      <c r="G271" s="2" t="s">
        <v>13</v>
      </c>
      <c r="H271" s="4">
        <v>4108</v>
      </c>
      <c r="I271" s="4">
        <v>5979.29</v>
      </c>
      <c r="J271" s="3">
        <v>0.04</v>
      </c>
      <c r="K271" s="4">
        <v>239.17160000000001</v>
      </c>
    </row>
    <row r="272" spans="1:11" x14ac:dyDescent="0.3">
      <c r="A272">
        <v>271</v>
      </c>
      <c r="B272" s="1">
        <v>45569</v>
      </c>
      <c r="C272">
        <v>2024</v>
      </c>
      <c r="D272" s="2" t="s">
        <v>39</v>
      </c>
      <c r="E272" s="2" t="s">
        <v>8</v>
      </c>
      <c r="F272" s="2" t="s">
        <v>15</v>
      </c>
      <c r="G272" s="2" t="s">
        <v>13</v>
      </c>
      <c r="H272" s="4">
        <v>2938</v>
      </c>
      <c r="I272" s="4">
        <v>1522.57</v>
      </c>
      <c r="J272" s="3">
        <v>0.04</v>
      </c>
      <c r="K272" s="4">
        <v>60.902799999999999</v>
      </c>
    </row>
    <row r="273" spans="1:11" x14ac:dyDescent="0.3">
      <c r="A273">
        <v>272</v>
      </c>
      <c r="B273" s="1">
        <v>45570</v>
      </c>
      <c r="C273">
        <v>2024</v>
      </c>
      <c r="D273" s="2" t="s">
        <v>39</v>
      </c>
      <c r="E273" s="2" t="s">
        <v>11</v>
      </c>
      <c r="F273" s="2" t="s">
        <v>21</v>
      </c>
      <c r="G273" s="2" t="s">
        <v>19</v>
      </c>
      <c r="H273" s="4">
        <v>2709</v>
      </c>
      <c r="I273" s="4">
        <v>1884.86</v>
      </c>
      <c r="J273" s="3">
        <v>0.05</v>
      </c>
      <c r="K273" s="4">
        <v>94.242999999999995</v>
      </c>
    </row>
    <row r="274" spans="1:11" x14ac:dyDescent="0.3">
      <c r="A274">
        <v>273</v>
      </c>
      <c r="B274" s="1">
        <v>45571</v>
      </c>
      <c r="C274">
        <v>2024</v>
      </c>
      <c r="D274" s="2" t="s">
        <v>39</v>
      </c>
      <c r="E274" s="2" t="s">
        <v>11</v>
      </c>
      <c r="F274" s="2" t="s">
        <v>12</v>
      </c>
      <c r="G274" s="2" t="s">
        <v>10</v>
      </c>
      <c r="H274" s="4">
        <v>2806</v>
      </c>
      <c r="I274" s="4">
        <v>1424.22</v>
      </c>
      <c r="J274" s="3">
        <v>0.05</v>
      </c>
      <c r="K274" s="4">
        <v>71.210999999999999</v>
      </c>
    </row>
    <row r="275" spans="1:11" x14ac:dyDescent="0.3">
      <c r="A275">
        <v>274</v>
      </c>
      <c r="B275" s="1">
        <v>45572</v>
      </c>
      <c r="C275">
        <v>2024</v>
      </c>
      <c r="D275" s="2" t="s">
        <v>39</v>
      </c>
      <c r="E275" s="2" t="s">
        <v>8</v>
      </c>
      <c r="F275" s="2" t="s">
        <v>15</v>
      </c>
      <c r="G275" s="2" t="s">
        <v>10</v>
      </c>
      <c r="H275" s="4">
        <v>3463</v>
      </c>
      <c r="I275" s="4">
        <v>3973.7</v>
      </c>
      <c r="J275" s="3">
        <v>0.04</v>
      </c>
      <c r="K275" s="4">
        <v>158.94800000000001</v>
      </c>
    </row>
    <row r="276" spans="1:11" x14ac:dyDescent="0.3">
      <c r="A276">
        <v>275</v>
      </c>
      <c r="B276" s="1">
        <v>45573</v>
      </c>
      <c r="C276">
        <v>2024</v>
      </c>
      <c r="D276" s="2" t="s">
        <v>39</v>
      </c>
      <c r="E276" s="2" t="s">
        <v>8</v>
      </c>
      <c r="F276" s="2" t="s">
        <v>21</v>
      </c>
      <c r="G276" s="2" t="s">
        <v>16</v>
      </c>
      <c r="H276" s="4">
        <v>3325</v>
      </c>
      <c r="I276" s="4">
        <v>4648.45</v>
      </c>
      <c r="J276" s="3">
        <v>0.04</v>
      </c>
      <c r="K276" s="4">
        <v>185.93799999999999</v>
      </c>
    </row>
    <row r="277" spans="1:11" x14ac:dyDescent="0.3">
      <c r="A277">
        <v>276</v>
      </c>
      <c r="B277" s="1">
        <v>45574</v>
      </c>
      <c r="C277">
        <v>2024</v>
      </c>
      <c r="D277" s="2" t="s">
        <v>39</v>
      </c>
      <c r="E277" s="2" t="s">
        <v>8</v>
      </c>
      <c r="F277" s="2" t="s">
        <v>9</v>
      </c>
      <c r="G277" s="2" t="s">
        <v>19</v>
      </c>
      <c r="H277" s="4">
        <v>2010</v>
      </c>
      <c r="I277" s="4">
        <v>1494.4</v>
      </c>
      <c r="J277" s="3">
        <v>0.04</v>
      </c>
      <c r="K277" s="4">
        <v>59.776000000000003</v>
      </c>
    </row>
    <row r="278" spans="1:11" x14ac:dyDescent="0.3">
      <c r="A278">
        <v>277</v>
      </c>
      <c r="B278" s="1">
        <v>45575</v>
      </c>
      <c r="C278">
        <v>2024</v>
      </c>
      <c r="D278" s="2" t="s">
        <v>39</v>
      </c>
      <c r="E278" s="2" t="s">
        <v>17</v>
      </c>
      <c r="F278" s="2" t="s">
        <v>12</v>
      </c>
      <c r="G278" s="2" t="s">
        <v>16</v>
      </c>
      <c r="H278" s="4">
        <v>3085</v>
      </c>
      <c r="I278" s="4">
        <v>4402.3999999999996</v>
      </c>
      <c r="J278" s="3">
        <v>7.0000000000000007E-2</v>
      </c>
      <c r="K278" s="4">
        <v>308.16800000000001</v>
      </c>
    </row>
    <row r="279" spans="1:11" x14ac:dyDescent="0.3">
      <c r="A279">
        <v>278</v>
      </c>
      <c r="B279" s="1">
        <v>45576</v>
      </c>
      <c r="C279">
        <v>2024</v>
      </c>
      <c r="D279" s="2" t="s">
        <v>39</v>
      </c>
      <c r="E279" s="2" t="s">
        <v>11</v>
      </c>
      <c r="F279" s="2" t="s">
        <v>15</v>
      </c>
      <c r="G279" s="2" t="s">
        <v>16</v>
      </c>
      <c r="H279" s="4">
        <v>3868</v>
      </c>
      <c r="I279" s="4">
        <v>2167.11</v>
      </c>
      <c r="J279" s="3">
        <v>0.05</v>
      </c>
      <c r="K279" s="4">
        <v>108.35550000000001</v>
      </c>
    </row>
    <row r="280" spans="1:11" x14ac:dyDescent="0.3">
      <c r="A280">
        <v>279</v>
      </c>
      <c r="B280" s="1">
        <v>45577</v>
      </c>
      <c r="C280">
        <v>2024</v>
      </c>
      <c r="D280" s="2" t="s">
        <v>39</v>
      </c>
      <c r="E280" s="2" t="s">
        <v>8</v>
      </c>
      <c r="F280" s="2" t="s">
        <v>20</v>
      </c>
      <c r="G280" s="2" t="s">
        <v>16</v>
      </c>
      <c r="H280" s="4">
        <v>4273</v>
      </c>
      <c r="I280" s="4">
        <v>6129.35</v>
      </c>
      <c r="J280" s="3">
        <v>0.04</v>
      </c>
      <c r="K280" s="4">
        <v>245.17400000000001</v>
      </c>
    </row>
    <row r="281" spans="1:11" x14ac:dyDescent="0.3">
      <c r="A281">
        <v>280</v>
      </c>
      <c r="B281" s="1">
        <v>45578</v>
      </c>
      <c r="C281">
        <v>2024</v>
      </c>
      <c r="D281" s="2" t="s">
        <v>39</v>
      </c>
      <c r="E281" s="2" t="s">
        <v>11</v>
      </c>
      <c r="F281" s="2" t="s">
        <v>14</v>
      </c>
      <c r="G281" s="2" t="s">
        <v>10</v>
      </c>
      <c r="H281" s="4">
        <v>4611</v>
      </c>
      <c r="I281" s="4">
        <v>3926.83</v>
      </c>
      <c r="J281" s="3">
        <v>0.05</v>
      </c>
      <c r="K281" s="4">
        <v>196.3415</v>
      </c>
    </row>
    <row r="282" spans="1:11" x14ac:dyDescent="0.3">
      <c r="A282">
        <v>281</v>
      </c>
      <c r="B282" s="1">
        <v>45579</v>
      </c>
      <c r="C282">
        <v>2024</v>
      </c>
      <c r="D282" s="2" t="s">
        <v>39</v>
      </c>
      <c r="E282" s="2" t="s">
        <v>17</v>
      </c>
      <c r="F282" s="2" t="s">
        <v>9</v>
      </c>
      <c r="G282" s="2" t="s">
        <v>19</v>
      </c>
      <c r="H282" s="4">
        <v>2771</v>
      </c>
      <c r="I282" s="4">
        <v>1666.54</v>
      </c>
      <c r="J282" s="3">
        <v>7.0000000000000007E-2</v>
      </c>
      <c r="K282" s="4">
        <v>116.65779999999999</v>
      </c>
    </row>
    <row r="283" spans="1:11" x14ac:dyDescent="0.3">
      <c r="A283">
        <v>282</v>
      </c>
      <c r="B283" s="1">
        <v>45580</v>
      </c>
      <c r="C283">
        <v>2024</v>
      </c>
      <c r="D283" s="2" t="s">
        <v>39</v>
      </c>
      <c r="E283" s="2" t="s">
        <v>17</v>
      </c>
      <c r="F283" s="2" t="s">
        <v>9</v>
      </c>
      <c r="G283" s="2" t="s">
        <v>16</v>
      </c>
      <c r="H283" s="4">
        <v>3594</v>
      </c>
      <c r="I283" s="4">
        <v>3543.22</v>
      </c>
      <c r="J283" s="3">
        <v>7.0000000000000007E-2</v>
      </c>
      <c r="K283" s="4">
        <v>248.02539999999999</v>
      </c>
    </row>
    <row r="284" spans="1:11" x14ac:dyDescent="0.3">
      <c r="A284">
        <v>283</v>
      </c>
      <c r="B284" s="1">
        <v>45581</v>
      </c>
      <c r="C284">
        <v>2024</v>
      </c>
      <c r="D284" s="2" t="s">
        <v>39</v>
      </c>
      <c r="E284" s="2" t="s">
        <v>8</v>
      </c>
      <c r="F284" s="2" t="s">
        <v>21</v>
      </c>
      <c r="G284" s="2" t="s">
        <v>19</v>
      </c>
      <c r="H284" s="4">
        <v>3607</v>
      </c>
      <c r="I284" s="4">
        <v>2729.69</v>
      </c>
      <c r="J284" s="3">
        <v>0.04</v>
      </c>
      <c r="K284" s="4">
        <v>109.1876</v>
      </c>
    </row>
    <row r="285" spans="1:11" x14ac:dyDescent="0.3">
      <c r="A285">
        <v>284</v>
      </c>
      <c r="B285" s="1">
        <v>45582</v>
      </c>
      <c r="C285">
        <v>2024</v>
      </c>
      <c r="D285" s="2" t="s">
        <v>39</v>
      </c>
      <c r="E285" s="2" t="s">
        <v>17</v>
      </c>
      <c r="F285" s="2" t="s">
        <v>9</v>
      </c>
      <c r="G285" s="2" t="s">
        <v>19</v>
      </c>
      <c r="H285" s="4">
        <v>3333</v>
      </c>
      <c r="I285" s="4">
        <v>2615.98</v>
      </c>
      <c r="J285" s="3">
        <v>7.0000000000000007E-2</v>
      </c>
      <c r="K285" s="4">
        <v>183.11859999999999</v>
      </c>
    </row>
    <row r="286" spans="1:11" x14ac:dyDescent="0.3">
      <c r="A286">
        <v>285</v>
      </c>
      <c r="B286" s="1">
        <v>45583</v>
      </c>
      <c r="C286">
        <v>2024</v>
      </c>
      <c r="D286" s="2" t="s">
        <v>39</v>
      </c>
      <c r="E286" s="2" t="s">
        <v>11</v>
      </c>
      <c r="F286" s="2" t="s">
        <v>12</v>
      </c>
      <c r="G286" s="2" t="s">
        <v>10</v>
      </c>
      <c r="H286" s="4">
        <v>2884</v>
      </c>
      <c r="I286" s="4">
        <v>2328.2199999999998</v>
      </c>
      <c r="J286" s="3">
        <v>0.05</v>
      </c>
      <c r="K286" s="4">
        <v>116.411</v>
      </c>
    </row>
    <row r="287" spans="1:11" x14ac:dyDescent="0.3">
      <c r="A287">
        <v>286</v>
      </c>
      <c r="B287" s="1">
        <v>45584</v>
      </c>
      <c r="C287">
        <v>2024</v>
      </c>
      <c r="D287" s="2" t="s">
        <v>39</v>
      </c>
      <c r="E287" s="2" t="s">
        <v>8</v>
      </c>
      <c r="F287" s="2" t="s">
        <v>15</v>
      </c>
      <c r="G287" s="2" t="s">
        <v>16</v>
      </c>
      <c r="H287" s="4">
        <v>3389</v>
      </c>
      <c r="I287" s="4">
        <v>4415.95</v>
      </c>
      <c r="J287" s="3">
        <v>0.04</v>
      </c>
      <c r="K287" s="4">
        <v>176.63800000000001</v>
      </c>
    </row>
    <row r="288" spans="1:11" x14ac:dyDescent="0.3">
      <c r="A288">
        <v>287</v>
      </c>
      <c r="B288" s="1">
        <v>45585</v>
      </c>
      <c r="C288">
        <v>2024</v>
      </c>
      <c r="D288" s="2" t="s">
        <v>39</v>
      </c>
      <c r="E288" s="2" t="s">
        <v>11</v>
      </c>
      <c r="F288" s="2" t="s">
        <v>15</v>
      </c>
      <c r="G288" s="2" t="s">
        <v>16</v>
      </c>
      <c r="H288" s="4">
        <v>2225</v>
      </c>
      <c r="I288" s="4">
        <v>2312.13</v>
      </c>
      <c r="J288" s="3">
        <v>0.05</v>
      </c>
      <c r="K288" s="4">
        <v>115.6065</v>
      </c>
    </row>
    <row r="289" spans="1:11" x14ac:dyDescent="0.3">
      <c r="A289">
        <v>288</v>
      </c>
      <c r="B289" s="1">
        <v>45586</v>
      </c>
      <c r="C289">
        <v>2024</v>
      </c>
      <c r="D289" s="2" t="s">
        <v>39</v>
      </c>
      <c r="E289" s="2" t="s">
        <v>11</v>
      </c>
      <c r="F289" s="2" t="s">
        <v>20</v>
      </c>
      <c r="G289" s="2" t="s">
        <v>19</v>
      </c>
      <c r="H289" s="4">
        <v>2824</v>
      </c>
      <c r="I289" s="4">
        <v>2291.13</v>
      </c>
      <c r="J289" s="3">
        <v>0.05</v>
      </c>
      <c r="K289" s="4">
        <v>114.5565</v>
      </c>
    </row>
    <row r="290" spans="1:11" x14ac:dyDescent="0.3">
      <c r="A290">
        <v>289</v>
      </c>
      <c r="B290" s="1">
        <v>45588</v>
      </c>
      <c r="C290">
        <v>2024</v>
      </c>
      <c r="D290" s="2" t="s">
        <v>39</v>
      </c>
      <c r="E290" s="2" t="s">
        <v>17</v>
      </c>
      <c r="F290" s="2" t="s">
        <v>21</v>
      </c>
      <c r="G290" s="2" t="s">
        <v>10</v>
      </c>
      <c r="H290" s="4">
        <v>2936</v>
      </c>
      <c r="I290" s="4">
        <v>3570.62</v>
      </c>
      <c r="J290" s="3">
        <v>7.0000000000000007E-2</v>
      </c>
      <c r="K290" s="4">
        <v>249.9434</v>
      </c>
    </row>
    <row r="291" spans="1:11" x14ac:dyDescent="0.3">
      <c r="A291">
        <v>290</v>
      </c>
      <c r="B291" s="1">
        <v>45589</v>
      </c>
      <c r="C291">
        <v>2024</v>
      </c>
      <c r="D291" s="2" t="s">
        <v>39</v>
      </c>
      <c r="E291" s="2" t="s">
        <v>17</v>
      </c>
      <c r="F291" s="2" t="s">
        <v>14</v>
      </c>
      <c r="G291" s="2" t="s">
        <v>10</v>
      </c>
      <c r="H291" s="4">
        <v>4800</v>
      </c>
      <c r="I291" s="4">
        <v>3708.6</v>
      </c>
      <c r="J291" s="3">
        <v>7.0000000000000007E-2</v>
      </c>
      <c r="K291" s="4">
        <v>259.60199999999998</v>
      </c>
    </row>
    <row r="292" spans="1:11" x14ac:dyDescent="0.3">
      <c r="A292">
        <v>291</v>
      </c>
      <c r="B292" s="1">
        <v>45590</v>
      </c>
      <c r="C292">
        <v>2024</v>
      </c>
      <c r="D292" s="2" t="s">
        <v>39</v>
      </c>
      <c r="E292" s="2" t="s">
        <v>17</v>
      </c>
      <c r="F292" s="2" t="s">
        <v>9</v>
      </c>
      <c r="G292" s="2" t="s">
        <v>10</v>
      </c>
      <c r="H292" s="4">
        <v>4553</v>
      </c>
      <c r="I292" s="4">
        <v>4159.3900000000003</v>
      </c>
      <c r="J292" s="3">
        <v>7.0000000000000007E-2</v>
      </c>
      <c r="K292" s="4">
        <v>291.15730000000002</v>
      </c>
    </row>
    <row r="293" spans="1:11" x14ac:dyDescent="0.3">
      <c r="A293">
        <v>292</v>
      </c>
      <c r="B293" s="1">
        <v>45591</v>
      </c>
      <c r="C293">
        <v>2024</v>
      </c>
      <c r="D293" s="2" t="s">
        <v>39</v>
      </c>
      <c r="E293" s="2" t="s">
        <v>17</v>
      </c>
      <c r="F293" s="2" t="s">
        <v>20</v>
      </c>
      <c r="G293" s="2" t="s">
        <v>10</v>
      </c>
      <c r="H293" s="4">
        <v>4306</v>
      </c>
      <c r="I293" s="4">
        <v>2677.84</v>
      </c>
      <c r="J293" s="3">
        <v>7.0000000000000007E-2</v>
      </c>
      <c r="K293" s="4">
        <v>187.44880000000001</v>
      </c>
    </row>
    <row r="294" spans="1:11" x14ac:dyDescent="0.3">
      <c r="A294">
        <v>293</v>
      </c>
      <c r="B294" s="1">
        <v>45592</v>
      </c>
      <c r="C294">
        <v>2024</v>
      </c>
      <c r="D294" s="2" t="s">
        <v>39</v>
      </c>
      <c r="E294" s="2" t="s">
        <v>8</v>
      </c>
      <c r="F294" s="2" t="s">
        <v>14</v>
      </c>
      <c r="G294" s="2" t="s">
        <v>16</v>
      </c>
      <c r="H294" s="4">
        <v>3911</v>
      </c>
      <c r="I294" s="4">
        <v>2663.98</v>
      </c>
      <c r="J294" s="3">
        <v>0.04</v>
      </c>
      <c r="K294" s="4">
        <v>106.5592</v>
      </c>
    </row>
    <row r="295" spans="1:11" x14ac:dyDescent="0.3">
      <c r="A295">
        <v>294</v>
      </c>
      <c r="B295" s="1">
        <v>45593</v>
      </c>
      <c r="C295">
        <v>2024</v>
      </c>
      <c r="D295" s="2" t="s">
        <v>39</v>
      </c>
      <c r="E295" s="2" t="s">
        <v>11</v>
      </c>
      <c r="F295" s="2" t="s">
        <v>12</v>
      </c>
      <c r="G295" s="2" t="s">
        <v>16</v>
      </c>
      <c r="H295" s="4">
        <v>3796</v>
      </c>
      <c r="I295" s="4">
        <v>4483.5200000000004</v>
      </c>
      <c r="J295" s="3">
        <v>0.05</v>
      </c>
      <c r="K295" s="4">
        <v>224.17599999999999</v>
      </c>
    </row>
    <row r="296" spans="1:11" x14ac:dyDescent="0.3">
      <c r="A296">
        <v>295</v>
      </c>
      <c r="B296" s="1">
        <v>45594</v>
      </c>
      <c r="C296">
        <v>2024</v>
      </c>
      <c r="D296" s="2" t="s">
        <v>39</v>
      </c>
      <c r="E296" s="2" t="s">
        <v>11</v>
      </c>
      <c r="F296" s="2" t="s">
        <v>15</v>
      </c>
      <c r="G296" s="2" t="s">
        <v>13</v>
      </c>
      <c r="H296" s="4">
        <v>2053</v>
      </c>
      <c r="I296" s="4">
        <v>1398.99</v>
      </c>
      <c r="J296" s="3">
        <v>0.05</v>
      </c>
      <c r="K296" s="4">
        <v>69.9495</v>
      </c>
    </row>
    <row r="297" spans="1:11" x14ac:dyDescent="0.3">
      <c r="A297">
        <v>296</v>
      </c>
      <c r="B297" s="1">
        <v>45595</v>
      </c>
      <c r="C297">
        <v>2024</v>
      </c>
      <c r="D297" s="2" t="s">
        <v>39</v>
      </c>
      <c r="E297" s="2" t="s">
        <v>11</v>
      </c>
      <c r="F297" s="2" t="s">
        <v>9</v>
      </c>
      <c r="G297" s="2" t="s">
        <v>10</v>
      </c>
      <c r="H297" s="4">
        <v>2726</v>
      </c>
      <c r="I297" s="4">
        <v>2794.6</v>
      </c>
      <c r="J297" s="3">
        <v>0.05</v>
      </c>
      <c r="K297" s="4">
        <v>139.72999999999999</v>
      </c>
    </row>
    <row r="298" spans="1:11" x14ac:dyDescent="0.3">
      <c r="A298">
        <v>297</v>
      </c>
      <c r="B298" s="1">
        <v>45597</v>
      </c>
      <c r="C298">
        <v>2024</v>
      </c>
      <c r="D298" s="2" t="s">
        <v>40</v>
      </c>
      <c r="E298" s="2" t="s">
        <v>17</v>
      </c>
      <c r="F298" s="2" t="s">
        <v>14</v>
      </c>
      <c r="G298" s="2" t="s">
        <v>19</v>
      </c>
      <c r="H298" s="4">
        <v>3544</v>
      </c>
      <c r="I298" s="4">
        <v>2150.77</v>
      </c>
      <c r="J298" s="3">
        <v>7.0000000000000007E-2</v>
      </c>
      <c r="K298" s="4">
        <v>150.5539</v>
      </c>
    </row>
    <row r="299" spans="1:11" x14ac:dyDescent="0.3">
      <c r="A299">
        <v>298</v>
      </c>
      <c r="B299" s="1">
        <v>45598</v>
      </c>
      <c r="C299">
        <v>2024</v>
      </c>
      <c r="D299" s="2" t="s">
        <v>40</v>
      </c>
      <c r="E299" s="2" t="s">
        <v>11</v>
      </c>
      <c r="F299" s="2" t="s">
        <v>21</v>
      </c>
      <c r="G299" s="2" t="s">
        <v>16</v>
      </c>
      <c r="H299" s="4">
        <v>3043</v>
      </c>
      <c r="I299" s="4">
        <v>3247.83</v>
      </c>
      <c r="J299" s="3">
        <v>0.05</v>
      </c>
      <c r="K299" s="4">
        <v>162.39150000000001</v>
      </c>
    </row>
    <row r="300" spans="1:11" x14ac:dyDescent="0.3">
      <c r="A300">
        <v>299</v>
      </c>
      <c r="B300" s="1">
        <v>45599</v>
      </c>
      <c r="C300">
        <v>2024</v>
      </c>
      <c r="D300" s="2" t="s">
        <v>40</v>
      </c>
      <c r="E300" s="2" t="s">
        <v>8</v>
      </c>
      <c r="F300" s="2" t="s">
        <v>12</v>
      </c>
      <c r="G300" s="2" t="s">
        <v>10</v>
      </c>
      <c r="H300" s="4">
        <v>3913</v>
      </c>
      <c r="I300" s="4">
        <v>2960.43</v>
      </c>
      <c r="J300" s="3">
        <v>0.04</v>
      </c>
      <c r="K300" s="4">
        <v>118.41719999999999</v>
      </c>
    </row>
    <row r="301" spans="1:11" x14ac:dyDescent="0.3">
      <c r="A301">
        <v>300</v>
      </c>
      <c r="B301" s="1">
        <v>45600</v>
      </c>
      <c r="C301">
        <v>2024</v>
      </c>
      <c r="D301" s="2" t="s">
        <v>40</v>
      </c>
      <c r="E301" s="2" t="s">
        <v>8</v>
      </c>
      <c r="F301" s="2" t="s">
        <v>12</v>
      </c>
      <c r="G301" s="2" t="s">
        <v>13</v>
      </c>
      <c r="H301" s="4">
        <v>3776</v>
      </c>
      <c r="I301" s="4">
        <v>5524.01</v>
      </c>
      <c r="J301" s="3">
        <v>0.04</v>
      </c>
      <c r="K301" s="4">
        <v>220.96039999999999</v>
      </c>
    </row>
    <row r="302" spans="1:11" x14ac:dyDescent="0.3">
      <c r="A302">
        <v>301</v>
      </c>
      <c r="B302" s="1">
        <v>45601</v>
      </c>
      <c r="C302">
        <v>2024</v>
      </c>
      <c r="D302" s="2" t="s">
        <v>40</v>
      </c>
      <c r="E302" s="2" t="s">
        <v>11</v>
      </c>
      <c r="F302" s="2" t="s">
        <v>14</v>
      </c>
      <c r="G302" s="2" t="s">
        <v>13</v>
      </c>
      <c r="H302" s="4">
        <v>3596</v>
      </c>
      <c r="I302" s="4">
        <v>3536.83</v>
      </c>
      <c r="J302" s="3">
        <v>0.05</v>
      </c>
      <c r="K302" s="4">
        <v>176.8415</v>
      </c>
    </row>
    <row r="303" spans="1:11" x14ac:dyDescent="0.3">
      <c r="A303">
        <v>302</v>
      </c>
      <c r="B303" s="1">
        <v>45602</v>
      </c>
      <c r="C303">
        <v>2024</v>
      </c>
      <c r="D303" s="2" t="s">
        <v>40</v>
      </c>
      <c r="E303" s="2" t="s">
        <v>11</v>
      </c>
      <c r="F303" s="2" t="s">
        <v>15</v>
      </c>
      <c r="G303" s="2" t="s">
        <v>16</v>
      </c>
      <c r="H303" s="4">
        <v>3914</v>
      </c>
      <c r="I303" s="4">
        <v>5111.6499999999996</v>
      </c>
      <c r="J303" s="3">
        <v>0.05</v>
      </c>
      <c r="K303" s="4">
        <v>255.58250000000001</v>
      </c>
    </row>
    <row r="304" spans="1:11" x14ac:dyDescent="0.3">
      <c r="A304">
        <v>303</v>
      </c>
      <c r="B304" s="1">
        <v>45603</v>
      </c>
      <c r="C304">
        <v>2024</v>
      </c>
      <c r="D304" s="2" t="s">
        <v>40</v>
      </c>
      <c r="E304" s="2" t="s">
        <v>8</v>
      </c>
      <c r="F304" s="2" t="s">
        <v>14</v>
      </c>
      <c r="G304" s="2" t="s">
        <v>13</v>
      </c>
      <c r="H304" s="4">
        <v>4466</v>
      </c>
      <c r="I304" s="4">
        <v>4690.3100000000004</v>
      </c>
      <c r="J304" s="3">
        <v>0.04</v>
      </c>
      <c r="K304" s="4">
        <v>187.61240000000001</v>
      </c>
    </row>
    <row r="305" spans="1:11" x14ac:dyDescent="0.3">
      <c r="A305">
        <v>304</v>
      </c>
      <c r="B305" s="1">
        <v>45604</v>
      </c>
      <c r="C305">
        <v>2024</v>
      </c>
      <c r="D305" s="2" t="s">
        <v>40</v>
      </c>
      <c r="E305" s="2" t="s">
        <v>8</v>
      </c>
      <c r="F305" s="2" t="s">
        <v>9</v>
      </c>
      <c r="G305" s="2" t="s">
        <v>13</v>
      </c>
      <c r="H305" s="4">
        <v>4737</v>
      </c>
      <c r="I305" s="4">
        <v>2574.15</v>
      </c>
      <c r="J305" s="3">
        <v>0.04</v>
      </c>
      <c r="K305" s="4">
        <v>102.96599999999999</v>
      </c>
    </row>
    <row r="306" spans="1:11" x14ac:dyDescent="0.3">
      <c r="A306">
        <v>305</v>
      </c>
      <c r="B306" s="1">
        <v>45605</v>
      </c>
      <c r="C306">
        <v>2024</v>
      </c>
      <c r="D306" s="2" t="s">
        <v>40</v>
      </c>
      <c r="E306" s="2" t="s">
        <v>17</v>
      </c>
      <c r="F306" s="2" t="s">
        <v>14</v>
      </c>
      <c r="G306" s="2" t="s">
        <v>16</v>
      </c>
      <c r="H306" s="4">
        <v>2849</v>
      </c>
      <c r="I306" s="4">
        <v>3228.35</v>
      </c>
      <c r="J306" s="3">
        <v>7.0000000000000007E-2</v>
      </c>
      <c r="K306" s="4">
        <v>225.9845</v>
      </c>
    </row>
    <row r="307" spans="1:11" x14ac:dyDescent="0.3">
      <c r="A307">
        <v>306</v>
      </c>
      <c r="B307" s="1">
        <v>45606</v>
      </c>
      <c r="C307">
        <v>2024</v>
      </c>
      <c r="D307" s="2" t="s">
        <v>40</v>
      </c>
      <c r="E307" s="2" t="s">
        <v>8</v>
      </c>
      <c r="F307" s="2" t="s">
        <v>12</v>
      </c>
      <c r="G307" s="2" t="s">
        <v>10</v>
      </c>
      <c r="H307" s="4">
        <v>4109</v>
      </c>
      <c r="I307" s="4">
        <v>5963.82</v>
      </c>
      <c r="J307" s="3">
        <v>0.04</v>
      </c>
      <c r="K307" s="4">
        <v>238.55279999999999</v>
      </c>
    </row>
    <row r="308" spans="1:11" x14ac:dyDescent="0.3">
      <c r="A308">
        <v>307</v>
      </c>
      <c r="B308" s="1">
        <v>45607</v>
      </c>
      <c r="C308">
        <v>2024</v>
      </c>
      <c r="D308" s="2" t="s">
        <v>40</v>
      </c>
      <c r="E308" s="2" t="s">
        <v>17</v>
      </c>
      <c r="F308" s="2" t="s">
        <v>20</v>
      </c>
      <c r="G308" s="2" t="s">
        <v>10</v>
      </c>
      <c r="H308" s="4">
        <v>4263</v>
      </c>
      <c r="I308" s="4">
        <v>4696.17</v>
      </c>
      <c r="J308" s="3">
        <v>7.0000000000000007E-2</v>
      </c>
      <c r="K308" s="4">
        <v>328.7319</v>
      </c>
    </row>
    <row r="309" spans="1:11" x14ac:dyDescent="0.3">
      <c r="A309">
        <v>308</v>
      </c>
      <c r="B309" s="1">
        <v>45608</v>
      </c>
      <c r="C309">
        <v>2024</v>
      </c>
      <c r="D309" s="2" t="s">
        <v>40</v>
      </c>
      <c r="E309" s="2" t="s">
        <v>17</v>
      </c>
      <c r="F309" s="2" t="s">
        <v>14</v>
      </c>
      <c r="G309" s="2" t="s">
        <v>13</v>
      </c>
      <c r="H309" s="4">
        <v>2002</v>
      </c>
      <c r="I309" s="4">
        <v>2641.02</v>
      </c>
      <c r="J309" s="3">
        <v>7.0000000000000007E-2</v>
      </c>
      <c r="K309" s="4">
        <v>184.87139999999999</v>
      </c>
    </row>
    <row r="310" spans="1:11" x14ac:dyDescent="0.3">
      <c r="A310">
        <v>309</v>
      </c>
      <c r="B310" s="1">
        <v>45609</v>
      </c>
      <c r="C310">
        <v>2024</v>
      </c>
      <c r="D310" s="2" t="s">
        <v>40</v>
      </c>
      <c r="E310" s="2" t="s">
        <v>17</v>
      </c>
      <c r="F310" s="2" t="s">
        <v>15</v>
      </c>
      <c r="G310" s="2" t="s">
        <v>13</v>
      </c>
      <c r="H310" s="4">
        <v>2159</v>
      </c>
      <c r="I310" s="4">
        <v>2988.5</v>
      </c>
      <c r="J310" s="3">
        <v>7.0000000000000007E-2</v>
      </c>
      <c r="K310" s="4">
        <v>209.19499999999999</v>
      </c>
    </row>
    <row r="311" spans="1:11" x14ac:dyDescent="0.3">
      <c r="A311">
        <v>310</v>
      </c>
      <c r="B311" s="1">
        <v>45610</v>
      </c>
      <c r="C311">
        <v>2024</v>
      </c>
      <c r="D311" s="2" t="s">
        <v>40</v>
      </c>
      <c r="E311" s="2" t="s">
        <v>17</v>
      </c>
      <c r="F311" s="2" t="s">
        <v>20</v>
      </c>
      <c r="G311" s="2" t="s">
        <v>10</v>
      </c>
      <c r="H311" s="4">
        <v>2780</v>
      </c>
      <c r="I311" s="4">
        <v>2024.06</v>
      </c>
      <c r="J311" s="3">
        <v>7.0000000000000007E-2</v>
      </c>
      <c r="K311" s="4">
        <v>141.6842</v>
      </c>
    </row>
    <row r="312" spans="1:11" x14ac:dyDescent="0.3">
      <c r="A312">
        <v>311</v>
      </c>
      <c r="B312" s="1">
        <v>45611</v>
      </c>
      <c r="C312">
        <v>2024</v>
      </c>
      <c r="D312" s="2" t="s">
        <v>40</v>
      </c>
      <c r="E312" s="2" t="s">
        <v>17</v>
      </c>
      <c r="F312" s="2" t="s">
        <v>21</v>
      </c>
      <c r="G312" s="2" t="s">
        <v>16</v>
      </c>
      <c r="H312" s="4">
        <v>2892</v>
      </c>
      <c r="I312" s="4">
        <v>2059.23</v>
      </c>
      <c r="J312" s="3">
        <v>7.0000000000000007E-2</v>
      </c>
      <c r="K312" s="4">
        <v>144.14609999999999</v>
      </c>
    </row>
    <row r="313" spans="1:11" x14ac:dyDescent="0.3">
      <c r="A313">
        <v>312</v>
      </c>
      <c r="B313" s="1">
        <v>45612</v>
      </c>
      <c r="C313">
        <v>2024</v>
      </c>
      <c r="D313" s="2" t="s">
        <v>40</v>
      </c>
      <c r="E313" s="2" t="s">
        <v>11</v>
      </c>
      <c r="F313" s="2" t="s">
        <v>18</v>
      </c>
      <c r="G313" s="2" t="s">
        <v>13</v>
      </c>
      <c r="H313" s="4">
        <v>4030</v>
      </c>
      <c r="I313" s="4">
        <v>4477.25</v>
      </c>
      <c r="J313" s="3">
        <v>0.05</v>
      </c>
      <c r="K313" s="4">
        <v>223.86250000000001</v>
      </c>
    </row>
    <row r="314" spans="1:11" x14ac:dyDescent="0.3">
      <c r="A314">
        <v>313</v>
      </c>
      <c r="B314" s="1">
        <v>45614</v>
      </c>
      <c r="C314">
        <v>2024</v>
      </c>
      <c r="D314" s="2" t="s">
        <v>40</v>
      </c>
      <c r="E314" s="2" t="s">
        <v>17</v>
      </c>
      <c r="F314" s="2" t="s">
        <v>15</v>
      </c>
      <c r="G314" s="2" t="s">
        <v>16</v>
      </c>
      <c r="H314" s="4">
        <v>2579</v>
      </c>
      <c r="I314" s="4">
        <v>3455.5</v>
      </c>
      <c r="J314" s="3">
        <v>7.0000000000000007E-2</v>
      </c>
      <c r="K314" s="4">
        <v>241.88499999999999</v>
      </c>
    </row>
    <row r="315" spans="1:11" x14ac:dyDescent="0.3">
      <c r="A315">
        <v>314</v>
      </c>
      <c r="B315" s="1">
        <v>45615</v>
      </c>
      <c r="C315">
        <v>2024</v>
      </c>
      <c r="D315" s="2" t="s">
        <v>40</v>
      </c>
      <c r="E315" s="2" t="s">
        <v>8</v>
      </c>
      <c r="F315" s="2" t="s">
        <v>20</v>
      </c>
      <c r="G315" s="2" t="s">
        <v>13</v>
      </c>
      <c r="H315" s="4">
        <v>3933</v>
      </c>
      <c r="I315" s="4">
        <v>5506.29</v>
      </c>
      <c r="J315" s="3">
        <v>0.04</v>
      </c>
      <c r="K315" s="4">
        <v>220.2516</v>
      </c>
    </row>
    <row r="316" spans="1:11" x14ac:dyDescent="0.3">
      <c r="A316">
        <v>315</v>
      </c>
      <c r="B316" s="1">
        <v>45616</v>
      </c>
      <c r="C316">
        <v>2024</v>
      </c>
      <c r="D316" s="2" t="s">
        <v>40</v>
      </c>
      <c r="E316" s="2" t="s">
        <v>8</v>
      </c>
      <c r="F316" s="2" t="s">
        <v>15</v>
      </c>
      <c r="G316" s="2" t="s">
        <v>13</v>
      </c>
      <c r="H316" s="4">
        <v>3380</v>
      </c>
      <c r="I316" s="4">
        <v>2884.56</v>
      </c>
      <c r="J316" s="3">
        <v>0.04</v>
      </c>
      <c r="K316" s="4">
        <v>115.3824</v>
      </c>
    </row>
    <row r="317" spans="1:11" x14ac:dyDescent="0.3">
      <c r="A317">
        <v>316</v>
      </c>
      <c r="B317" s="1">
        <v>45617</v>
      </c>
      <c r="C317">
        <v>2024</v>
      </c>
      <c r="D317" s="2" t="s">
        <v>40</v>
      </c>
      <c r="E317" s="2" t="s">
        <v>17</v>
      </c>
      <c r="F317" s="2" t="s">
        <v>21</v>
      </c>
      <c r="G317" s="2" t="s">
        <v>19</v>
      </c>
      <c r="H317" s="4">
        <v>3290</v>
      </c>
      <c r="I317" s="4">
        <v>2424.3000000000002</v>
      </c>
      <c r="J317" s="3">
        <v>7.0000000000000007E-2</v>
      </c>
      <c r="K317" s="4">
        <v>169.70099999999999</v>
      </c>
    </row>
    <row r="318" spans="1:11" x14ac:dyDescent="0.3">
      <c r="A318">
        <v>317</v>
      </c>
      <c r="B318" s="1">
        <v>45618</v>
      </c>
      <c r="C318">
        <v>2024</v>
      </c>
      <c r="D318" s="2" t="s">
        <v>40</v>
      </c>
      <c r="E318" s="2" t="s">
        <v>11</v>
      </c>
      <c r="F318" s="2" t="s">
        <v>12</v>
      </c>
      <c r="G318" s="2" t="s">
        <v>19</v>
      </c>
      <c r="H318" s="4">
        <v>3640</v>
      </c>
      <c r="I318" s="4">
        <v>4661.1099999999997</v>
      </c>
      <c r="J318" s="3">
        <v>0.05</v>
      </c>
      <c r="K318" s="4">
        <v>233.05549999999999</v>
      </c>
    </row>
    <row r="319" spans="1:11" x14ac:dyDescent="0.3">
      <c r="A319">
        <v>318</v>
      </c>
      <c r="B319" s="1">
        <v>45619</v>
      </c>
      <c r="C319">
        <v>2024</v>
      </c>
      <c r="D319" s="2" t="s">
        <v>40</v>
      </c>
      <c r="E319" s="2" t="s">
        <v>17</v>
      </c>
      <c r="F319" s="2" t="s">
        <v>15</v>
      </c>
      <c r="G319" s="2" t="s">
        <v>10</v>
      </c>
      <c r="H319" s="4">
        <v>2951</v>
      </c>
      <c r="I319" s="4">
        <v>2286.4499999999998</v>
      </c>
      <c r="J319" s="3">
        <v>7.0000000000000007E-2</v>
      </c>
      <c r="K319" s="4">
        <v>160.0515</v>
      </c>
    </row>
    <row r="320" spans="1:11" x14ac:dyDescent="0.3">
      <c r="A320">
        <v>319</v>
      </c>
      <c r="B320" s="1">
        <v>45620</v>
      </c>
      <c r="C320">
        <v>2024</v>
      </c>
      <c r="D320" s="2" t="s">
        <v>40</v>
      </c>
      <c r="E320" s="2" t="s">
        <v>11</v>
      </c>
      <c r="F320" s="2" t="s">
        <v>20</v>
      </c>
      <c r="G320" s="2" t="s">
        <v>16</v>
      </c>
      <c r="H320" s="4">
        <v>4682</v>
      </c>
      <c r="I320" s="4">
        <v>6192.48</v>
      </c>
      <c r="J320" s="3">
        <v>0.05</v>
      </c>
      <c r="K320" s="4">
        <v>309.62400000000002</v>
      </c>
    </row>
    <row r="321" spans="1:11" x14ac:dyDescent="0.3">
      <c r="A321">
        <v>320</v>
      </c>
      <c r="B321" s="1">
        <v>45621</v>
      </c>
      <c r="C321">
        <v>2024</v>
      </c>
      <c r="D321" s="2" t="s">
        <v>40</v>
      </c>
      <c r="E321" s="2" t="s">
        <v>8</v>
      </c>
      <c r="F321" s="2" t="s">
        <v>15</v>
      </c>
      <c r="G321" s="2" t="s">
        <v>16</v>
      </c>
      <c r="H321" s="4">
        <v>2987</v>
      </c>
      <c r="I321" s="4">
        <v>2759.21</v>
      </c>
      <c r="J321" s="3">
        <v>0.04</v>
      </c>
      <c r="K321" s="4">
        <v>110.36839999999999</v>
      </c>
    </row>
    <row r="322" spans="1:11" x14ac:dyDescent="0.3">
      <c r="A322">
        <v>321</v>
      </c>
      <c r="B322" s="1">
        <v>45622</v>
      </c>
      <c r="C322">
        <v>2024</v>
      </c>
      <c r="D322" s="2" t="s">
        <v>40</v>
      </c>
      <c r="E322" s="2" t="s">
        <v>11</v>
      </c>
      <c r="F322" s="2" t="s">
        <v>15</v>
      </c>
      <c r="G322" s="2" t="s">
        <v>10</v>
      </c>
      <c r="H322" s="4">
        <v>3218</v>
      </c>
      <c r="I322" s="4">
        <v>3757.18</v>
      </c>
      <c r="J322" s="3">
        <v>0.05</v>
      </c>
      <c r="K322" s="4">
        <v>187.85900000000001</v>
      </c>
    </row>
    <row r="323" spans="1:11" x14ac:dyDescent="0.3">
      <c r="A323">
        <v>322</v>
      </c>
      <c r="B323" s="1">
        <v>45624</v>
      </c>
      <c r="C323">
        <v>2024</v>
      </c>
      <c r="D323" s="2" t="s">
        <v>40</v>
      </c>
      <c r="E323" s="2" t="s">
        <v>11</v>
      </c>
      <c r="F323" s="2" t="s">
        <v>9</v>
      </c>
      <c r="G323" s="2" t="s">
        <v>16</v>
      </c>
      <c r="H323" s="4">
        <v>4785</v>
      </c>
      <c r="I323" s="4">
        <v>5377.67</v>
      </c>
      <c r="J323" s="3">
        <v>0.05</v>
      </c>
      <c r="K323" s="4">
        <v>268.88350000000003</v>
      </c>
    </row>
    <row r="324" spans="1:11" x14ac:dyDescent="0.3">
      <c r="A324">
        <v>323</v>
      </c>
      <c r="B324" s="1">
        <v>45625</v>
      </c>
      <c r="C324">
        <v>2024</v>
      </c>
      <c r="D324" s="2" t="s">
        <v>40</v>
      </c>
      <c r="E324" s="2" t="s">
        <v>8</v>
      </c>
      <c r="F324" s="2" t="s">
        <v>9</v>
      </c>
      <c r="G324" s="2" t="s">
        <v>16</v>
      </c>
      <c r="H324" s="4">
        <v>3355</v>
      </c>
      <c r="I324" s="4">
        <v>3193.18</v>
      </c>
      <c r="J324" s="3">
        <v>0.04</v>
      </c>
      <c r="K324" s="4">
        <v>127.7272</v>
      </c>
    </row>
    <row r="325" spans="1:11" x14ac:dyDescent="0.3">
      <c r="A325">
        <v>324</v>
      </c>
      <c r="B325" s="1">
        <v>45626</v>
      </c>
      <c r="C325">
        <v>2024</v>
      </c>
      <c r="D325" s="2" t="s">
        <v>40</v>
      </c>
      <c r="E325" s="2" t="s">
        <v>8</v>
      </c>
      <c r="F325" s="2" t="s">
        <v>12</v>
      </c>
      <c r="G325" s="2" t="s">
        <v>16</v>
      </c>
      <c r="H325" s="4">
        <v>2169</v>
      </c>
      <c r="I325" s="4">
        <v>2356.85</v>
      </c>
      <c r="J325" s="3">
        <v>0.04</v>
      </c>
      <c r="K325" s="4">
        <v>94.274000000000001</v>
      </c>
    </row>
    <row r="326" spans="1:11" x14ac:dyDescent="0.3">
      <c r="A326">
        <v>325</v>
      </c>
      <c r="B326" s="1">
        <v>45627</v>
      </c>
      <c r="C326">
        <v>2024</v>
      </c>
      <c r="D326" s="2" t="s">
        <v>41</v>
      </c>
      <c r="E326" s="2" t="s">
        <v>11</v>
      </c>
      <c r="F326" s="2" t="s">
        <v>14</v>
      </c>
      <c r="G326" s="2" t="s">
        <v>16</v>
      </c>
      <c r="H326" s="4">
        <v>2520</v>
      </c>
      <c r="I326" s="4">
        <v>1683.4</v>
      </c>
      <c r="J326" s="3">
        <v>0.05</v>
      </c>
      <c r="K326" s="4">
        <v>84.17</v>
      </c>
    </row>
    <row r="327" spans="1:11" x14ac:dyDescent="0.3">
      <c r="A327">
        <v>326</v>
      </c>
      <c r="B327" s="1">
        <v>45628</v>
      </c>
      <c r="C327">
        <v>2024</v>
      </c>
      <c r="D327" s="2" t="s">
        <v>41</v>
      </c>
      <c r="E327" s="2" t="s">
        <v>11</v>
      </c>
      <c r="F327" s="2" t="s">
        <v>15</v>
      </c>
      <c r="G327" s="2" t="s">
        <v>19</v>
      </c>
      <c r="H327" s="4">
        <v>3486</v>
      </c>
      <c r="I327" s="4">
        <v>4311.74</v>
      </c>
      <c r="J327" s="3">
        <v>0.05</v>
      </c>
      <c r="K327" s="4">
        <v>215.58699999999999</v>
      </c>
    </row>
    <row r="328" spans="1:11" x14ac:dyDescent="0.3">
      <c r="A328">
        <v>327</v>
      </c>
      <c r="B328" s="1">
        <v>45629</v>
      </c>
      <c r="C328">
        <v>2024</v>
      </c>
      <c r="D328" s="2" t="s">
        <v>41</v>
      </c>
      <c r="E328" s="2" t="s">
        <v>17</v>
      </c>
      <c r="F328" s="2" t="s">
        <v>21</v>
      </c>
      <c r="G328" s="2" t="s">
        <v>16</v>
      </c>
      <c r="H328" s="4">
        <v>2039</v>
      </c>
      <c r="I328" s="4">
        <v>2778.74</v>
      </c>
      <c r="J328" s="3">
        <v>7.0000000000000007E-2</v>
      </c>
      <c r="K328" s="4">
        <v>194.51179999999999</v>
      </c>
    </row>
    <row r="329" spans="1:11" x14ac:dyDescent="0.3">
      <c r="A329">
        <v>328</v>
      </c>
      <c r="B329" s="1">
        <v>45630</v>
      </c>
      <c r="C329">
        <v>2024</v>
      </c>
      <c r="D329" s="2" t="s">
        <v>41</v>
      </c>
      <c r="E329" s="2" t="s">
        <v>11</v>
      </c>
      <c r="F329" s="2" t="s">
        <v>14</v>
      </c>
      <c r="G329" s="2" t="s">
        <v>19</v>
      </c>
      <c r="H329" s="4">
        <v>3560</v>
      </c>
      <c r="I329" s="4">
        <v>2551.59</v>
      </c>
      <c r="J329" s="3">
        <v>0.05</v>
      </c>
      <c r="K329" s="4">
        <v>127.5795</v>
      </c>
    </row>
    <row r="330" spans="1:11" x14ac:dyDescent="0.3">
      <c r="A330">
        <v>329</v>
      </c>
      <c r="B330" s="1">
        <v>45631</v>
      </c>
      <c r="C330">
        <v>2024</v>
      </c>
      <c r="D330" s="2" t="s">
        <v>41</v>
      </c>
      <c r="E330" s="2" t="s">
        <v>17</v>
      </c>
      <c r="F330" s="2" t="s">
        <v>21</v>
      </c>
      <c r="G330" s="2" t="s">
        <v>16</v>
      </c>
      <c r="H330" s="4">
        <v>3418</v>
      </c>
      <c r="I330" s="4">
        <v>2036.15</v>
      </c>
      <c r="J330" s="3">
        <v>7.0000000000000007E-2</v>
      </c>
      <c r="K330" s="4">
        <v>142.53049999999999</v>
      </c>
    </row>
    <row r="331" spans="1:11" x14ac:dyDescent="0.3">
      <c r="A331">
        <v>330</v>
      </c>
      <c r="B331" s="1">
        <v>45632</v>
      </c>
      <c r="C331">
        <v>2024</v>
      </c>
      <c r="D331" s="2" t="s">
        <v>41</v>
      </c>
      <c r="E331" s="2" t="s">
        <v>11</v>
      </c>
      <c r="F331" s="2" t="s">
        <v>14</v>
      </c>
      <c r="G331" s="2" t="s">
        <v>10</v>
      </c>
      <c r="H331" s="4">
        <v>2954</v>
      </c>
      <c r="I331" s="4">
        <v>1546.83</v>
      </c>
      <c r="J331" s="3">
        <v>0.05</v>
      </c>
      <c r="K331" s="4">
        <v>77.341499999999996</v>
      </c>
    </row>
    <row r="332" spans="1:11" x14ac:dyDescent="0.3">
      <c r="A332">
        <v>331</v>
      </c>
      <c r="B332" s="1">
        <v>45633</v>
      </c>
      <c r="C332">
        <v>2024</v>
      </c>
      <c r="D332" s="2" t="s">
        <v>41</v>
      </c>
      <c r="E332" s="2" t="s">
        <v>17</v>
      </c>
      <c r="F332" s="2" t="s">
        <v>12</v>
      </c>
      <c r="G332" s="2" t="s">
        <v>13</v>
      </c>
      <c r="H332" s="4">
        <v>2983</v>
      </c>
      <c r="I332" s="4">
        <v>3406.5</v>
      </c>
      <c r="J332" s="3">
        <v>7.0000000000000007E-2</v>
      </c>
      <c r="K332" s="4">
        <v>238.45500000000001</v>
      </c>
    </row>
    <row r="333" spans="1:11" x14ac:dyDescent="0.3">
      <c r="A333">
        <v>332</v>
      </c>
      <c r="B333" s="1">
        <v>45634</v>
      </c>
      <c r="C333">
        <v>2024</v>
      </c>
      <c r="D333" s="2" t="s">
        <v>41</v>
      </c>
      <c r="E333" s="2" t="s">
        <v>8</v>
      </c>
      <c r="F333" s="2" t="s">
        <v>15</v>
      </c>
      <c r="G333" s="2" t="s">
        <v>19</v>
      </c>
      <c r="H333" s="4">
        <v>2974</v>
      </c>
      <c r="I333" s="4">
        <v>3292.5</v>
      </c>
      <c r="J333" s="3">
        <v>0.04</v>
      </c>
      <c r="K333" s="4">
        <v>131.69999999999999</v>
      </c>
    </row>
    <row r="334" spans="1:11" x14ac:dyDescent="0.3">
      <c r="A334">
        <v>333</v>
      </c>
      <c r="B334" s="1">
        <v>45635</v>
      </c>
      <c r="C334">
        <v>2024</v>
      </c>
      <c r="D334" s="2" t="s">
        <v>41</v>
      </c>
      <c r="E334" s="2" t="s">
        <v>11</v>
      </c>
      <c r="F334" s="2" t="s">
        <v>15</v>
      </c>
      <c r="G334" s="2" t="s">
        <v>16</v>
      </c>
      <c r="H334" s="4">
        <v>2037</v>
      </c>
      <c r="I334" s="4">
        <v>2132.12</v>
      </c>
      <c r="J334" s="3">
        <v>0.05</v>
      </c>
      <c r="K334" s="4">
        <v>106.60599999999999</v>
      </c>
    </row>
    <row r="335" spans="1:11" x14ac:dyDescent="0.3">
      <c r="A335">
        <v>334</v>
      </c>
      <c r="B335" s="1">
        <v>45637</v>
      </c>
      <c r="C335">
        <v>2024</v>
      </c>
      <c r="D335" s="2" t="s">
        <v>41</v>
      </c>
      <c r="E335" s="2" t="s">
        <v>11</v>
      </c>
      <c r="F335" s="2" t="s">
        <v>21</v>
      </c>
      <c r="G335" s="2" t="s">
        <v>13</v>
      </c>
      <c r="H335" s="4">
        <v>3274</v>
      </c>
      <c r="I335" s="4">
        <v>2916.83</v>
      </c>
      <c r="J335" s="3">
        <v>0.05</v>
      </c>
      <c r="K335" s="4">
        <v>145.8415</v>
      </c>
    </row>
    <row r="336" spans="1:11" x14ac:dyDescent="0.3">
      <c r="A336">
        <v>335</v>
      </c>
      <c r="B336" s="1">
        <v>45638</v>
      </c>
      <c r="C336">
        <v>2024</v>
      </c>
      <c r="D336" s="2" t="s">
        <v>41</v>
      </c>
      <c r="E336" s="2" t="s">
        <v>11</v>
      </c>
      <c r="F336" s="2" t="s">
        <v>14</v>
      </c>
      <c r="G336" s="2" t="s">
        <v>19</v>
      </c>
      <c r="H336" s="4">
        <v>3199</v>
      </c>
      <c r="I336" s="4">
        <v>3501.23</v>
      </c>
      <c r="J336" s="3">
        <v>0.05</v>
      </c>
      <c r="K336" s="4">
        <v>175.0615</v>
      </c>
    </row>
    <row r="337" spans="1:11" x14ac:dyDescent="0.3">
      <c r="A337">
        <v>336</v>
      </c>
      <c r="B337" s="1">
        <v>45639</v>
      </c>
      <c r="C337">
        <v>2024</v>
      </c>
      <c r="D337" s="2" t="s">
        <v>41</v>
      </c>
      <c r="E337" s="2" t="s">
        <v>17</v>
      </c>
      <c r="F337" s="2" t="s">
        <v>14</v>
      </c>
      <c r="G337" s="2" t="s">
        <v>13</v>
      </c>
      <c r="H337" s="4">
        <v>3625</v>
      </c>
      <c r="I337" s="4">
        <v>3613.28</v>
      </c>
      <c r="J337" s="3">
        <v>7.0000000000000007E-2</v>
      </c>
      <c r="K337" s="4">
        <v>252.92959999999999</v>
      </c>
    </row>
    <row r="338" spans="1:11" x14ac:dyDescent="0.3">
      <c r="A338">
        <v>337</v>
      </c>
      <c r="B338" s="1">
        <v>45640</v>
      </c>
      <c r="C338">
        <v>2024</v>
      </c>
      <c r="D338" s="2" t="s">
        <v>41</v>
      </c>
      <c r="E338" s="2" t="s">
        <v>11</v>
      </c>
      <c r="F338" s="2" t="s">
        <v>9</v>
      </c>
      <c r="G338" s="2" t="s">
        <v>10</v>
      </c>
      <c r="H338" s="4">
        <v>2913</v>
      </c>
      <c r="I338" s="4">
        <v>4333.92</v>
      </c>
      <c r="J338" s="3">
        <v>0.05</v>
      </c>
      <c r="K338" s="4">
        <v>216.696</v>
      </c>
    </row>
    <row r="339" spans="1:11" x14ac:dyDescent="0.3">
      <c r="A339">
        <v>338</v>
      </c>
      <c r="B339" s="1">
        <v>45641</v>
      </c>
      <c r="C339">
        <v>2024</v>
      </c>
      <c r="D339" s="2" t="s">
        <v>41</v>
      </c>
      <c r="E339" s="2" t="s">
        <v>8</v>
      </c>
      <c r="F339" s="2" t="s">
        <v>18</v>
      </c>
      <c r="G339" s="2" t="s">
        <v>19</v>
      </c>
      <c r="H339" s="4">
        <v>2453</v>
      </c>
      <c r="I339" s="4">
        <v>1561.19</v>
      </c>
      <c r="J339" s="3">
        <v>0.04</v>
      </c>
      <c r="K339" s="4">
        <v>62.447600000000001</v>
      </c>
    </row>
    <row r="340" spans="1:11" x14ac:dyDescent="0.3">
      <c r="A340">
        <v>339</v>
      </c>
      <c r="B340" s="1">
        <v>45642</v>
      </c>
      <c r="C340">
        <v>2024</v>
      </c>
      <c r="D340" s="2" t="s">
        <v>41</v>
      </c>
      <c r="E340" s="2" t="s">
        <v>8</v>
      </c>
      <c r="F340" s="2" t="s">
        <v>20</v>
      </c>
      <c r="G340" s="2" t="s">
        <v>13</v>
      </c>
      <c r="H340" s="4">
        <v>2036</v>
      </c>
      <c r="I340" s="4">
        <v>2433.31</v>
      </c>
      <c r="J340" s="3">
        <v>0.04</v>
      </c>
      <c r="K340" s="4">
        <v>97.332400000000007</v>
      </c>
    </row>
    <row r="341" spans="1:11" x14ac:dyDescent="0.3">
      <c r="A341">
        <v>340</v>
      </c>
      <c r="B341" s="1">
        <v>45643</v>
      </c>
      <c r="C341">
        <v>2024</v>
      </c>
      <c r="D341" s="2" t="s">
        <v>41</v>
      </c>
      <c r="E341" s="2" t="s">
        <v>11</v>
      </c>
      <c r="F341" s="2" t="s">
        <v>20</v>
      </c>
      <c r="G341" s="2" t="s">
        <v>16</v>
      </c>
      <c r="H341" s="4">
        <v>3711</v>
      </c>
      <c r="I341" s="4">
        <v>3355.93</v>
      </c>
      <c r="J341" s="3">
        <v>0.05</v>
      </c>
      <c r="K341" s="4">
        <v>167.79650000000001</v>
      </c>
    </row>
    <row r="342" spans="1:11" x14ac:dyDescent="0.3">
      <c r="A342">
        <v>341</v>
      </c>
      <c r="B342" s="1">
        <v>45644</v>
      </c>
      <c r="C342">
        <v>2024</v>
      </c>
      <c r="D342" s="2" t="s">
        <v>41</v>
      </c>
      <c r="E342" s="2" t="s">
        <v>8</v>
      </c>
      <c r="F342" s="2" t="s">
        <v>9</v>
      </c>
      <c r="G342" s="2" t="s">
        <v>19</v>
      </c>
      <c r="H342" s="4">
        <v>2795</v>
      </c>
      <c r="I342" s="4">
        <v>2594.3200000000002</v>
      </c>
      <c r="J342" s="3">
        <v>0.04</v>
      </c>
      <c r="K342" s="4">
        <v>103.7728</v>
      </c>
    </row>
    <row r="343" spans="1:11" x14ac:dyDescent="0.3">
      <c r="A343">
        <v>342</v>
      </c>
      <c r="B343" s="1">
        <v>45645</v>
      </c>
      <c r="C343">
        <v>2024</v>
      </c>
      <c r="D343" s="2" t="s">
        <v>41</v>
      </c>
      <c r="E343" s="2" t="s">
        <v>11</v>
      </c>
      <c r="F343" s="2" t="s">
        <v>9</v>
      </c>
      <c r="G343" s="2" t="s">
        <v>13</v>
      </c>
      <c r="H343" s="4">
        <v>2972</v>
      </c>
      <c r="I343" s="4">
        <v>3618.7</v>
      </c>
      <c r="J343" s="3">
        <v>0.05</v>
      </c>
      <c r="K343" s="4">
        <v>180.935</v>
      </c>
    </row>
    <row r="344" spans="1:11" x14ac:dyDescent="0.3">
      <c r="A344">
        <v>343</v>
      </c>
      <c r="B344" s="1">
        <v>45646</v>
      </c>
      <c r="C344">
        <v>2024</v>
      </c>
      <c r="D344" s="2" t="s">
        <v>41</v>
      </c>
      <c r="E344" s="2" t="s">
        <v>11</v>
      </c>
      <c r="F344" s="2" t="s">
        <v>9</v>
      </c>
      <c r="G344" s="2" t="s">
        <v>10</v>
      </c>
      <c r="H344" s="4">
        <v>2592</v>
      </c>
      <c r="I344" s="4">
        <v>3090.79</v>
      </c>
      <c r="J344" s="3">
        <v>0.05</v>
      </c>
      <c r="K344" s="4">
        <v>154.5395</v>
      </c>
    </row>
    <row r="345" spans="1:11" x14ac:dyDescent="0.3">
      <c r="A345">
        <v>344</v>
      </c>
      <c r="B345" s="1">
        <v>45647</v>
      </c>
      <c r="C345">
        <v>2024</v>
      </c>
      <c r="D345" s="2" t="s">
        <v>41</v>
      </c>
      <c r="E345" s="2" t="s">
        <v>8</v>
      </c>
      <c r="F345" s="2" t="s">
        <v>21</v>
      </c>
      <c r="G345" s="2" t="s">
        <v>10</v>
      </c>
      <c r="H345" s="4">
        <v>3137</v>
      </c>
      <c r="I345" s="4">
        <v>4678.07</v>
      </c>
      <c r="J345" s="3">
        <v>0.04</v>
      </c>
      <c r="K345" s="4">
        <v>187.12280000000001</v>
      </c>
    </row>
    <row r="346" spans="1:11" x14ac:dyDescent="0.3">
      <c r="A346">
        <v>345</v>
      </c>
      <c r="B346" s="1">
        <v>45648</v>
      </c>
      <c r="C346">
        <v>2024</v>
      </c>
      <c r="D346" s="2" t="s">
        <v>41</v>
      </c>
      <c r="E346" s="2" t="s">
        <v>11</v>
      </c>
      <c r="F346" s="2" t="s">
        <v>21</v>
      </c>
      <c r="G346" s="2" t="s">
        <v>19</v>
      </c>
      <c r="H346" s="4">
        <v>3324</v>
      </c>
      <c r="I346" s="4">
        <v>2088.7800000000002</v>
      </c>
      <c r="J346" s="3">
        <v>0.05</v>
      </c>
      <c r="K346" s="4">
        <v>104.43899999999999</v>
      </c>
    </row>
    <row r="347" spans="1:11" x14ac:dyDescent="0.3">
      <c r="A347">
        <v>346</v>
      </c>
      <c r="B347" s="1">
        <v>45649</v>
      </c>
      <c r="C347">
        <v>2024</v>
      </c>
      <c r="D347" s="2" t="s">
        <v>41</v>
      </c>
      <c r="E347" s="2" t="s">
        <v>8</v>
      </c>
      <c r="F347" s="2" t="s">
        <v>12</v>
      </c>
      <c r="G347" s="2" t="s">
        <v>13</v>
      </c>
      <c r="H347" s="4">
        <v>4271</v>
      </c>
      <c r="I347" s="4">
        <v>2580.15</v>
      </c>
      <c r="J347" s="3">
        <v>0.04</v>
      </c>
      <c r="K347" s="4">
        <v>103.206</v>
      </c>
    </row>
    <row r="348" spans="1:11" x14ac:dyDescent="0.3">
      <c r="A348">
        <v>347</v>
      </c>
      <c r="B348" s="1">
        <v>45650</v>
      </c>
      <c r="C348">
        <v>2024</v>
      </c>
      <c r="D348" s="2" t="s">
        <v>41</v>
      </c>
      <c r="E348" s="2" t="s">
        <v>17</v>
      </c>
      <c r="F348" s="2" t="s">
        <v>12</v>
      </c>
      <c r="G348" s="2" t="s">
        <v>19</v>
      </c>
      <c r="H348" s="4">
        <v>2317</v>
      </c>
      <c r="I348" s="4">
        <v>2836.79</v>
      </c>
      <c r="J348" s="3">
        <v>7.0000000000000007E-2</v>
      </c>
      <c r="K348" s="4">
        <v>198.5753</v>
      </c>
    </row>
    <row r="349" spans="1:11" x14ac:dyDescent="0.3">
      <c r="A349">
        <v>348</v>
      </c>
      <c r="B349" s="1">
        <v>45651</v>
      </c>
      <c r="C349">
        <v>2024</v>
      </c>
      <c r="D349" s="2" t="s">
        <v>41</v>
      </c>
      <c r="E349" s="2" t="s">
        <v>11</v>
      </c>
      <c r="F349" s="2" t="s">
        <v>9</v>
      </c>
      <c r="G349" s="2" t="s">
        <v>19</v>
      </c>
      <c r="H349" s="4">
        <v>4396</v>
      </c>
      <c r="I349" s="4">
        <v>4740.59</v>
      </c>
      <c r="J349" s="3">
        <v>0.05</v>
      </c>
      <c r="K349" s="4">
        <v>237.02950000000001</v>
      </c>
    </row>
    <row r="350" spans="1:11" x14ac:dyDescent="0.3">
      <c r="A350">
        <v>349</v>
      </c>
      <c r="B350" s="1">
        <v>45652</v>
      </c>
      <c r="C350">
        <v>2024</v>
      </c>
      <c r="D350" s="2" t="s">
        <v>41</v>
      </c>
      <c r="E350" s="2" t="s">
        <v>17</v>
      </c>
      <c r="F350" s="2" t="s">
        <v>18</v>
      </c>
      <c r="G350" s="2" t="s">
        <v>13</v>
      </c>
      <c r="H350" s="4">
        <v>4162</v>
      </c>
      <c r="I350" s="4">
        <v>3222.06</v>
      </c>
      <c r="J350" s="3">
        <v>7.0000000000000007E-2</v>
      </c>
      <c r="K350" s="4">
        <v>225.54419999999999</v>
      </c>
    </row>
    <row r="351" spans="1:11" x14ac:dyDescent="0.3">
      <c r="A351">
        <v>350</v>
      </c>
      <c r="B351" s="1">
        <v>45653</v>
      </c>
      <c r="C351">
        <v>2024</v>
      </c>
      <c r="D351" s="2" t="s">
        <v>41</v>
      </c>
      <c r="E351" s="2" t="s">
        <v>8</v>
      </c>
      <c r="F351" s="2" t="s">
        <v>14</v>
      </c>
      <c r="G351" s="2" t="s">
        <v>13</v>
      </c>
      <c r="H351" s="4">
        <v>4745</v>
      </c>
      <c r="I351" s="4">
        <v>2749.34</v>
      </c>
      <c r="J351" s="3">
        <v>0.04</v>
      </c>
      <c r="K351" s="4">
        <v>109.9736</v>
      </c>
    </row>
    <row r="352" spans="1:11" x14ac:dyDescent="0.3">
      <c r="A352">
        <v>351</v>
      </c>
      <c r="B352" s="1">
        <v>45654</v>
      </c>
      <c r="C352">
        <v>2024</v>
      </c>
      <c r="D352" s="2" t="s">
        <v>41</v>
      </c>
      <c r="E352" s="2" t="s">
        <v>17</v>
      </c>
      <c r="F352" s="2" t="s">
        <v>21</v>
      </c>
      <c r="G352" s="2" t="s">
        <v>16</v>
      </c>
      <c r="H352" s="4">
        <v>3346</v>
      </c>
      <c r="I352" s="4">
        <v>1959.61</v>
      </c>
      <c r="J352" s="3">
        <v>7.0000000000000007E-2</v>
      </c>
      <c r="K352" s="4">
        <v>137.17269999999999</v>
      </c>
    </row>
    <row r="353" spans="1:11" x14ac:dyDescent="0.3">
      <c r="A353">
        <v>352</v>
      </c>
      <c r="B353" s="1">
        <v>45655</v>
      </c>
      <c r="C353">
        <v>2024</v>
      </c>
      <c r="D353" s="2" t="s">
        <v>41</v>
      </c>
      <c r="E353" s="2" t="s">
        <v>17</v>
      </c>
      <c r="F353" s="2" t="s">
        <v>18</v>
      </c>
      <c r="G353" s="2" t="s">
        <v>13</v>
      </c>
      <c r="H353" s="4">
        <v>3591</v>
      </c>
      <c r="I353" s="4">
        <v>5006.54</v>
      </c>
      <c r="J353" s="3">
        <v>7.0000000000000007E-2</v>
      </c>
      <c r="K353" s="4">
        <v>350.45780000000002</v>
      </c>
    </row>
    <row r="354" spans="1:11" x14ac:dyDescent="0.3">
      <c r="A354">
        <v>353</v>
      </c>
      <c r="B354" s="1">
        <v>45656</v>
      </c>
      <c r="C354">
        <v>2024</v>
      </c>
      <c r="D354" s="2" t="s">
        <v>41</v>
      </c>
      <c r="E354" s="2" t="s">
        <v>8</v>
      </c>
      <c r="F354" s="2" t="s">
        <v>15</v>
      </c>
      <c r="G354" s="2" t="s">
        <v>10</v>
      </c>
      <c r="H354" s="4">
        <v>3889</v>
      </c>
      <c r="I354" s="4">
        <v>2690.67</v>
      </c>
      <c r="J354" s="3">
        <v>0.04</v>
      </c>
      <c r="K354" s="4">
        <v>107.6268</v>
      </c>
    </row>
    <row r="355" spans="1:11" x14ac:dyDescent="0.3">
      <c r="A355">
        <v>354</v>
      </c>
      <c r="B355" s="1">
        <v>45657</v>
      </c>
      <c r="C355">
        <v>2024</v>
      </c>
      <c r="D355" s="2" t="s">
        <v>41</v>
      </c>
      <c r="E355" s="2" t="s">
        <v>17</v>
      </c>
      <c r="F355" s="2" t="s">
        <v>21</v>
      </c>
      <c r="G355" s="2" t="s">
        <v>19</v>
      </c>
      <c r="H355" s="4">
        <v>4087</v>
      </c>
      <c r="I355" s="4">
        <v>3365.12</v>
      </c>
      <c r="J355" s="3">
        <v>7.0000000000000007E-2</v>
      </c>
      <c r="K355" s="4">
        <v>235.55840000000001</v>
      </c>
    </row>
    <row r="356" spans="1:11" x14ac:dyDescent="0.3">
      <c r="A356">
        <v>355</v>
      </c>
      <c r="B356" s="1">
        <v>45658</v>
      </c>
      <c r="C356">
        <v>2025</v>
      </c>
      <c r="D356" s="2" t="s">
        <v>30</v>
      </c>
      <c r="E356" s="2" t="s">
        <v>17</v>
      </c>
      <c r="F356" s="2" t="s">
        <v>21</v>
      </c>
      <c r="G356" s="2" t="s">
        <v>19</v>
      </c>
      <c r="H356" s="4">
        <v>3996</v>
      </c>
      <c r="I356" s="4">
        <v>2903.72</v>
      </c>
      <c r="J356" s="3">
        <v>7.0000000000000007E-2</v>
      </c>
      <c r="K356" s="4">
        <v>203.2604</v>
      </c>
    </row>
    <row r="357" spans="1:11" x14ac:dyDescent="0.3">
      <c r="A357">
        <v>356</v>
      </c>
      <c r="B357" s="1">
        <v>45659</v>
      </c>
      <c r="C357">
        <v>2025</v>
      </c>
      <c r="D357" s="2" t="s">
        <v>30</v>
      </c>
      <c r="E357" s="2" t="s">
        <v>8</v>
      </c>
      <c r="F357" s="2" t="s">
        <v>12</v>
      </c>
      <c r="G357" s="2" t="s">
        <v>10</v>
      </c>
      <c r="H357" s="4">
        <v>3772</v>
      </c>
      <c r="I357" s="4">
        <v>3225.05</v>
      </c>
      <c r="J357" s="3">
        <v>0.04</v>
      </c>
      <c r="K357" s="4">
        <v>129.00200000000001</v>
      </c>
    </row>
    <row r="358" spans="1:11" x14ac:dyDescent="0.3">
      <c r="A358">
        <v>357</v>
      </c>
      <c r="B358" s="1">
        <v>45660</v>
      </c>
      <c r="C358">
        <v>2025</v>
      </c>
      <c r="D358" s="2" t="s">
        <v>30</v>
      </c>
      <c r="E358" s="2" t="s">
        <v>17</v>
      </c>
      <c r="F358" s="2" t="s">
        <v>14</v>
      </c>
      <c r="G358" s="2" t="s">
        <v>13</v>
      </c>
      <c r="H358" s="4">
        <v>3312</v>
      </c>
      <c r="I358" s="4">
        <v>1885.93</v>
      </c>
      <c r="J358" s="3">
        <v>7.0000000000000007E-2</v>
      </c>
      <c r="K358" s="4">
        <v>132.01509999999999</v>
      </c>
    </row>
    <row r="359" spans="1:11" x14ac:dyDescent="0.3">
      <c r="A359">
        <v>358</v>
      </c>
      <c r="B359" s="1">
        <v>45661</v>
      </c>
      <c r="C359">
        <v>2025</v>
      </c>
      <c r="D359" s="2" t="s">
        <v>30</v>
      </c>
      <c r="E359" s="2" t="s">
        <v>8</v>
      </c>
      <c r="F359" s="2" t="s">
        <v>14</v>
      </c>
      <c r="G359" s="2" t="s">
        <v>10</v>
      </c>
      <c r="H359" s="4">
        <v>3285</v>
      </c>
      <c r="I359" s="4">
        <v>3347.61</v>
      </c>
      <c r="J359" s="3">
        <v>0.04</v>
      </c>
      <c r="K359" s="4">
        <v>133.90440000000001</v>
      </c>
    </row>
    <row r="360" spans="1:11" x14ac:dyDescent="0.3">
      <c r="A360">
        <v>359</v>
      </c>
      <c r="B360" s="1">
        <v>45662</v>
      </c>
      <c r="C360">
        <v>2025</v>
      </c>
      <c r="D360" s="2" t="s">
        <v>30</v>
      </c>
      <c r="E360" s="2" t="s">
        <v>17</v>
      </c>
      <c r="F360" s="2" t="s">
        <v>20</v>
      </c>
      <c r="G360" s="2" t="s">
        <v>10</v>
      </c>
      <c r="H360" s="4">
        <v>2215</v>
      </c>
      <c r="I360" s="4">
        <v>1257.26</v>
      </c>
      <c r="J360" s="3">
        <v>7.0000000000000007E-2</v>
      </c>
      <c r="K360" s="4">
        <v>88.008200000000002</v>
      </c>
    </row>
    <row r="361" spans="1:11" x14ac:dyDescent="0.3">
      <c r="A361">
        <v>360</v>
      </c>
      <c r="B361" s="1">
        <v>45663</v>
      </c>
      <c r="C361">
        <v>2025</v>
      </c>
      <c r="D361" s="2" t="s">
        <v>30</v>
      </c>
      <c r="E361" s="2" t="s">
        <v>8</v>
      </c>
      <c r="F361" s="2" t="s">
        <v>20</v>
      </c>
      <c r="G361" s="2" t="s">
        <v>16</v>
      </c>
      <c r="H361" s="4">
        <v>4383</v>
      </c>
      <c r="I361" s="4">
        <v>5699.46</v>
      </c>
      <c r="J361" s="3">
        <v>0.04</v>
      </c>
      <c r="K361" s="4">
        <v>227.97839999999999</v>
      </c>
    </row>
    <row r="362" spans="1:11" x14ac:dyDescent="0.3">
      <c r="A362">
        <v>361</v>
      </c>
      <c r="B362" s="1">
        <v>45664</v>
      </c>
      <c r="C362">
        <v>2025</v>
      </c>
      <c r="D362" s="2" t="s">
        <v>30</v>
      </c>
      <c r="E362" s="2" t="s">
        <v>8</v>
      </c>
      <c r="F362" s="2" t="s">
        <v>20</v>
      </c>
      <c r="G362" s="2" t="s">
        <v>10</v>
      </c>
      <c r="H362" s="4">
        <v>4139</v>
      </c>
      <c r="I362" s="4">
        <v>3036.83</v>
      </c>
      <c r="J362" s="3">
        <v>0.04</v>
      </c>
      <c r="K362" s="4">
        <v>121.47320000000001</v>
      </c>
    </row>
    <row r="363" spans="1:11" x14ac:dyDescent="0.3">
      <c r="A363">
        <v>362</v>
      </c>
      <c r="B363" s="1">
        <v>45665</v>
      </c>
      <c r="C363">
        <v>2025</v>
      </c>
      <c r="D363" s="2" t="s">
        <v>30</v>
      </c>
      <c r="E363" s="2" t="s">
        <v>17</v>
      </c>
      <c r="F363" s="2" t="s">
        <v>20</v>
      </c>
      <c r="G363" s="2" t="s">
        <v>19</v>
      </c>
      <c r="H363" s="4">
        <v>4400</v>
      </c>
      <c r="I363" s="4">
        <v>4576.05</v>
      </c>
      <c r="J363" s="3">
        <v>7.0000000000000007E-2</v>
      </c>
      <c r="K363" s="4">
        <v>320.32350000000002</v>
      </c>
    </row>
    <row r="364" spans="1:11" x14ac:dyDescent="0.3">
      <c r="A364">
        <v>363</v>
      </c>
      <c r="B364" s="1">
        <v>45666</v>
      </c>
      <c r="C364">
        <v>2025</v>
      </c>
      <c r="D364" s="2" t="s">
        <v>30</v>
      </c>
      <c r="E364" s="2" t="s">
        <v>17</v>
      </c>
      <c r="F364" s="2" t="s">
        <v>15</v>
      </c>
      <c r="G364" s="2" t="s">
        <v>10</v>
      </c>
      <c r="H364" s="4">
        <v>4618</v>
      </c>
      <c r="I364" s="4">
        <v>6373.21</v>
      </c>
      <c r="J364" s="3">
        <v>7.0000000000000007E-2</v>
      </c>
      <c r="K364" s="4">
        <v>446.12470000000002</v>
      </c>
    </row>
    <row r="365" spans="1:11" x14ac:dyDescent="0.3">
      <c r="A365">
        <v>364</v>
      </c>
      <c r="B365" s="1">
        <v>45667</v>
      </c>
      <c r="C365">
        <v>2025</v>
      </c>
      <c r="D365" s="2" t="s">
        <v>30</v>
      </c>
      <c r="E365" s="2" t="s">
        <v>17</v>
      </c>
      <c r="F365" s="2" t="s">
        <v>15</v>
      </c>
      <c r="G365" s="2" t="s">
        <v>19</v>
      </c>
      <c r="H365" s="4">
        <v>4863</v>
      </c>
      <c r="I365" s="4">
        <v>5596.72</v>
      </c>
      <c r="J365" s="3">
        <v>7.0000000000000007E-2</v>
      </c>
      <c r="K365" s="4">
        <v>391.7704</v>
      </c>
    </row>
    <row r="366" spans="1:11" x14ac:dyDescent="0.3">
      <c r="A366">
        <v>365</v>
      </c>
      <c r="B366" s="1">
        <v>45668</v>
      </c>
      <c r="C366">
        <v>2025</v>
      </c>
      <c r="D366" s="2" t="s">
        <v>30</v>
      </c>
      <c r="E366" s="2" t="s">
        <v>11</v>
      </c>
      <c r="F366" s="2" t="s">
        <v>21</v>
      </c>
      <c r="G366" s="2" t="s">
        <v>19</v>
      </c>
      <c r="H366" s="4">
        <v>3704</v>
      </c>
      <c r="I366" s="4">
        <v>3826.08</v>
      </c>
      <c r="J366" s="3">
        <v>0.05</v>
      </c>
      <c r="K366" s="4">
        <v>191.304</v>
      </c>
    </row>
    <row r="367" spans="1:11" x14ac:dyDescent="0.3">
      <c r="A367">
        <v>366</v>
      </c>
      <c r="B367" s="1">
        <v>45669</v>
      </c>
      <c r="C367">
        <v>2025</v>
      </c>
      <c r="D367" s="2" t="s">
        <v>30</v>
      </c>
      <c r="E367" s="2" t="s">
        <v>11</v>
      </c>
      <c r="F367" s="2" t="s">
        <v>9</v>
      </c>
      <c r="G367" s="2" t="s">
        <v>19</v>
      </c>
      <c r="H367" s="4">
        <v>4828</v>
      </c>
      <c r="I367" s="4">
        <v>3979.88</v>
      </c>
      <c r="J367" s="3">
        <v>0.05</v>
      </c>
      <c r="K367" s="4">
        <v>198.994</v>
      </c>
    </row>
    <row r="368" spans="1:11" x14ac:dyDescent="0.3">
      <c r="A368">
        <v>367</v>
      </c>
      <c r="B368" s="1">
        <v>45670</v>
      </c>
      <c r="C368">
        <v>2025</v>
      </c>
      <c r="D368" s="2" t="s">
        <v>30</v>
      </c>
      <c r="E368" s="2" t="s">
        <v>11</v>
      </c>
      <c r="F368" s="2" t="s">
        <v>12</v>
      </c>
      <c r="G368" s="2" t="s">
        <v>13</v>
      </c>
      <c r="H368" s="4">
        <v>2362</v>
      </c>
      <c r="I368" s="4">
        <v>1967.55</v>
      </c>
      <c r="J368" s="3">
        <v>0.05</v>
      </c>
      <c r="K368" s="4">
        <v>98.377499999999998</v>
      </c>
    </row>
    <row r="369" spans="1:11" x14ac:dyDescent="0.3">
      <c r="A369">
        <v>368</v>
      </c>
      <c r="B369" s="1">
        <v>45671</v>
      </c>
      <c r="C369">
        <v>2025</v>
      </c>
      <c r="D369" s="2" t="s">
        <v>30</v>
      </c>
      <c r="E369" s="2" t="s">
        <v>8</v>
      </c>
      <c r="F369" s="2" t="s">
        <v>12</v>
      </c>
      <c r="G369" s="2" t="s">
        <v>16</v>
      </c>
      <c r="H369" s="4">
        <v>4604</v>
      </c>
      <c r="I369" s="4">
        <v>5384.32</v>
      </c>
      <c r="J369" s="3">
        <v>0.04</v>
      </c>
      <c r="K369" s="4">
        <v>215.37280000000001</v>
      </c>
    </row>
    <row r="370" spans="1:11" x14ac:dyDescent="0.3">
      <c r="A370">
        <v>369</v>
      </c>
      <c r="B370" s="1">
        <v>45672</v>
      </c>
      <c r="C370">
        <v>2025</v>
      </c>
      <c r="D370" s="2" t="s">
        <v>30</v>
      </c>
      <c r="E370" s="2" t="s">
        <v>17</v>
      </c>
      <c r="F370" s="2" t="s">
        <v>20</v>
      </c>
      <c r="G370" s="2" t="s">
        <v>19</v>
      </c>
      <c r="H370" s="4">
        <v>3716</v>
      </c>
      <c r="I370" s="4">
        <v>5552.22</v>
      </c>
      <c r="J370" s="3">
        <v>7.0000000000000007E-2</v>
      </c>
      <c r="K370" s="4">
        <v>388.65539999999999</v>
      </c>
    </row>
    <row r="371" spans="1:11" x14ac:dyDescent="0.3">
      <c r="A371">
        <v>370</v>
      </c>
      <c r="B371" s="1">
        <v>45673</v>
      </c>
      <c r="C371">
        <v>2025</v>
      </c>
      <c r="D371" s="2" t="s">
        <v>30</v>
      </c>
      <c r="E371" s="2" t="s">
        <v>8</v>
      </c>
      <c r="F371" s="2" t="s">
        <v>21</v>
      </c>
      <c r="G371" s="2" t="s">
        <v>19</v>
      </c>
      <c r="H371" s="4">
        <v>3193</v>
      </c>
      <c r="I371" s="4">
        <v>3709.75</v>
      </c>
      <c r="J371" s="3">
        <v>0.04</v>
      </c>
      <c r="K371" s="4">
        <v>148.38999999999999</v>
      </c>
    </row>
    <row r="372" spans="1:11" x14ac:dyDescent="0.3">
      <c r="A372">
        <v>371</v>
      </c>
      <c r="B372" s="1">
        <v>45674</v>
      </c>
      <c r="C372">
        <v>2025</v>
      </c>
      <c r="D372" s="2" t="s">
        <v>30</v>
      </c>
      <c r="E372" s="2" t="s">
        <v>11</v>
      </c>
      <c r="F372" s="2" t="s">
        <v>18</v>
      </c>
      <c r="G372" s="2" t="s">
        <v>13</v>
      </c>
      <c r="H372" s="4">
        <v>2355</v>
      </c>
      <c r="I372" s="4">
        <v>2491.08</v>
      </c>
      <c r="J372" s="3">
        <v>0.05</v>
      </c>
      <c r="K372" s="4">
        <v>124.554</v>
      </c>
    </row>
    <row r="373" spans="1:11" x14ac:dyDescent="0.3">
      <c r="A373">
        <v>372</v>
      </c>
      <c r="B373" s="1">
        <v>45675</v>
      </c>
      <c r="C373">
        <v>2025</v>
      </c>
      <c r="D373" s="2" t="s">
        <v>30</v>
      </c>
      <c r="E373" s="2" t="s">
        <v>17</v>
      </c>
      <c r="F373" s="2" t="s">
        <v>9</v>
      </c>
      <c r="G373" s="2" t="s">
        <v>19</v>
      </c>
      <c r="H373" s="4">
        <v>2190</v>
      </c>
      <c r="I373" s="4">
        <v>2695.12</v>
      </c>
      <c r="J373" s="3">
        <v>7.0000000000000007E-2</v>
      </c>
      <c r="K373" s="4">
        <v>188.6584</v>
      </c>
    </row>
    <row r="374" spans="1:11" x14ac:dyDescent="0.3">
      <c r="A374">
        <v>373</v>
      </c>
      <c r="B374" s="1">
        <v>45676</v>
      </c>
      <c r="C374">
        <v>2025</v>
      </c>
      <c r="D374" s="2" t="s">
        <v>30</v>
      </c>
      <c r="E374" s="2" t="s">
        <v>8</v>
      </c>
      <c r="F374" s="2" t="s">
        <v>21</v>
      </c>
      <c r="G374" s="2" t="s">
        <v>10</v>
      </c>
      <c r="H374" s="4">
        <v>4469</v>
      </c>
      <c r="I374" s="4">
        <v>4313.5</v>
      </c>
      <c r="J374" s="3">
        <v>0.04</v>
      </c>
      <c r="K374" s="4">
        <v>172.54</v>
      </c>
    </row>
    <row r="375" spans="1:11" x14ac:dyDescent="0.3">
      <c r="A375">
        <v>374</v>
      </c>
      <c r="B375" s="1">
        <v>45677</v>
      </c>
      <c r="C375">
        <v>2025</v>
      </c>
      <c r="D375" s="2" t="s">
        <v>30</v>
      </c>
      <c r="E375" s="2" t="s">
        <v>17</v>
      </c>
      <c r="F375" s="2" t="s">
        <v>9</v>
      </c>
      <c r="G375" s="2" t="s">
        <v>10</v>
      </c>
      <c r="H375" s="4">
        <v>2699</v>
      </c>
      <c r="I375" s="4">
        <v>1511.82</v>
      </c>
      <c r="J375" s="3">
        <v>7.0000000000000007E-2</v>
      </c>
      <c r="K375" s="4">
        <v>105.8274</v>
      </c>
    </row>
    <row r="376" spans="1:11" x14ac:dyDescent="0.3">
      <c r="A376">
        <v>375</v>
      </c>
      <c r="B376" s="1">
        <v>45678</v>
      </c>
      <c r="C376">
        <v>2025</v>
      </c>
      <c r="D376" s="2" t="s">
        <v>30</v>
      </c>
      <c r="E376" s="2" t="s">
        <v>8</v>
      </c>
      <c r="F376" s="2" t="s">
        <v>9</v>
      </c>
      <c r="G376" s="2" t="s">
        <v>16</v>
      </c>
      <c r="H376" s="4">
        <v>4054</v>
      </c>
      <c r="I376" s="4">
        <v>4306.55</v>
      </c>
      <c r="J376" s="3">
        <v>0.04</v>
      </c>
      <c r="K376" s="4">
        <v>172.262</v>
      </c>
    </row>
    <row r="377" spans="1:11" x14ac:dyDescent="0.3">
      <c r="A377">
        <v>376</v>
      </c>
      <c r="B377" s="1">
        <v>45679</v>
      </c>
      <c r="C377">
        <v>2025</v>
      </c>
      <c r="D377" s="2" t="s">
        <v>30</v>
      </c>
      <c r="E377" s="2" t="s">
        <v>17</v>
      </c>
      <c r="F377" s="2" t="s">
        <v>9</v>
      </c>
      <c r="G377" s="2" t="s">
        <v>19</v>
      </c>
      <c r="H377" s="4">
        <v>4180</v>
      </c>
      <c r="I377" s="4">
        <v>6092.87</v>
      </c>
      <c r="J377" s="3">
        <v>7.0000000000000007E-2</v>
      </c>
      <c r="K377" s="4">
        <v>426.5009</v>
      </c>
    </row>
    <row r="378" spans="1:11" x14ac:dyDescent="0.3">
      <c r="A378">
        <v>377</v>
      </c>
      <c r="B378" s="1">
        <v>45680</v>
      </c>
      <c r="C378">
        <v>2025</v>
      </c>
      <c r="D378" s="2" t="s">
        <v>30</v>
      </c>
      <c r="E378" s="2" t="s">
        <v>11</v>
      </c>
      <c r="F378" s="2" t="s">
        <v>21</v>
      </c>
      <c r="G378" s="2" t="s">
        <v>13</v>
      </c>
      <c r="H378" s="4">
        <v>2556</v>
      </c>
      <c r="I378" s="4">
        <v>1726.07</v>
      </c>
      <c r="J378" s="3">
        <v>0.05</v>
      </c>
      <c r="K378" s="4">
        <v>86.3035</v>
      </c>
    </row>
    <row r="379" spans="1:11" x14ac:dyDescent="0.3">
      <c r="A379">
        <v>378</v>
      </c>
      <c r="B379" s="1">
        <v>45681</v>
      </c>
      <c r="C379">
        <v>2025</v>
      </c>
      <c r="D379" s="2" t="s">
        <v>30</v>
      </c>
      <c r="E379" s="2" t="s">
        <v>11</v>
      </c>
      <c r="F379" s="2" t="s">
        <v>20</v>
      </c>
      <c r="G379" s="2" t="s">
        <v>10</v>
      </c>
      <c r="H379" s="4">
        <v>2825</v>
      </c>
      <c r="I379" s="4">
        <v>3361.76</v>
      </c>
      <c r="J379" s="3">
        <v>0.05</v>
      </c>
      <c r="K379" s="4">
        <v>168.08799999999999</v>
      </c>
    </row>
    <row r="380" spans="1:11" x14ac:dyDescent="0.3">
      <c r="A380">
        <v>379</v>
      </c>
      <c r="B380" s="1">
        <v>45682</v>
      </c>
      <c r="C380">
        <v>2025</v>
      </c>
      <c r="D380" s="2" t="s">
        <v>30</v>
      </c>
      <c r="E380" s="2" t="s">
        <v>17</v>
      </c>
      <c r="F380" s="2" t="s">
        <v>12</v>
      </c>
      <c r="G380" s="2" t="s">
        <v>13</v>
      </c>
      <c r="H380" s="4">
        <v>4808</v>
      </c>
      <c r="I380" s="4">
        <v>3370.09</v>
      </c>
      <c r="J380" s="3">
        <v>7.0000000000000007E-2</v>
      </c>
      <c r="K380" s="4">
        <v>235.90629999999999</v>
      </c>
    </row>
    <row r="381" spans="1:11" x14ac:dyDescent="0.3">
      <c r="A381">
        <v>380</v>
      </c>
      <c r="B381" s="1">
        <v>45683</v>
      </c>
      <c r="C381">
        <v>2025</v>
      </c>
      <c r="D381" s="2" t="s">
        <v>30</v>
      </c>
      <c r="E381" s="2" t="s">
        <v>8</v>
      </c>
      <c r="F381" s="2" t="s">
        <v>12</v>
      </c>
      <c r="G381" s="2" t="s">
        <v>13</v>
      </c>
      <c r="H381" s="4">
        <v>3054</v>
      </c>
      <c r="I381" s="4">
        <v>3163.42</v>
      </c>
      <c r="J381" s="3">
        <v>0.04</v>
      </c>
      <c r="K381" s="4">
        <v>126.5368</v>
      </c>
    </row>
    <row r="382" spans="1:11" x14ac:dyDescent="0.3">
      <c r="A382">
        <v>381</v>
      </c>
      <c r="B382" s="1">
        <v>45684</v>
      </c>
      <c r="C382">
        <v>2025</v>
      </c>
      <c r="D382" s="2" t="s">
        <v>30</v>
      </c>
      <c r="E382" s="2" t="s">
        <v>11</v>
      </c>
      <c r="F382" s="2" t="s">
        <v>20</v>
      </c>
      <c r="G382" s="2" t="s">
        <v>10</v>
      </c>
      <c r="H382" s="4">
        <v>4582</v>
      </c>
      <c r="I382" s="4">
        <v>2733.97</v>
      </c>
      <c r="J382" s="3">
        <v>0.05</v>
      </c>
      <c r="K382" s="4">
        <v>136.6985</v>
      </c>
    </row>
    <row r="383" spans="1:11" x14ac:dyDescent="0.3">
      <c r="A383">
        <v>382</v>
      </c>
      <c r="B383" s="1">
        <v>45685</v>
      </c>
      <c r="C383">
        <v>2025</v>
      </c>
      <c r="D383" s="2" t="s">
        <v>30</v>
      </c>
      <c r="E383" s="2" t="s">
        <v>11</v>
      </c>
      <c r="F383" s="2" t="s">
        <v>9</v>
      </c>
      <c r="G383" s="2" t="s">
        <v>13</v>
      </c>
      <c r="H383" s="4">
        <v>2425</v>
      </c>
      <c r="I383" s="4">
        <v>2304.65</v>
      </c>
      <c r="J383" s="3">
        <v>0.05</v>
      </c>
      <c r="K383" s="4">
        <v>115.2325</v>
      </c>
    </row>
    <row r="384" spans="1:11" x14ac:dyDescent="0.3">
      <c r="A384">
        <v>383</v>
      </c>
      <c r="B384" s="1">
        <v>45686</v>
      </c>
      <c r="C384">
        <v>2025</v>
      </c>
      <c r="D384" s="2" t="s">
        <v>30</v>
      </c>
      <c r="E384" s="2" t="s">
        <v>11</v>
      </c>
      <c r="F384" s="2" t="s">
        <v>18</v>
      </c>
      <c r="G384" s="2" t="s">
        <v>10</v>
      </c>
      <c r="H384" s="4">
        <v>4719</v>
      </c>
      <c r="I384" s="4">
        <v>5927.83</v>
      </c>
      <c r="J384" s="3">
        <v>0.05</v>
      </c>
      <c r="K384" s="4">
        <v>296.39150000000001</v>
      </c>
    </row>
    <row r="385" spans="1:11" x14ac:dyDescent="0.3">
      <c r="A385">
        <v>384</v>
      </c>
      <c r="B385" s="1">
        <v>45687</v>
      </c>
      <c r="C385">
        <v>2025</v>
      </c>
      <c r="D385" s="2" t="s">
        <v>30</v>
      </c>
      <c r="E385" s="2" t="s">
        <v>17</v>
      </c>
      <c r="F385" s="2" t="s">
        <v>14</v>
      </c>
      <c r="G385" s="2" t="s">
        <v>13</v>
      </c>
      <c r="H385" s="4">
        <v>4410</v>
      </c>
      <c r="I385" s="4">
        <v>3737.79</v>
      </c>
      <c r="J385" s="3">
        <v>7.0000000000000007E-2</v>
      </c>
      <c r="K385" s="4">
        <v>261.64530000000002</v>
      </c>
    </row>
    <row r="386" spans="1:11" x14ac:dyDescent="0.3">
      <c r="A386">
        <v>385</v>
      </c>
      <c r="B386" s="1">
        <v>45688</v>
      </c>
      <c r="C386">
        <v>2025</v>
      </c>
      <c r="D386" s="2" t="s">
        <v>30</v>
      </c>
      <c r="E386" s="2" t="s">
        <v>17</v>
      </c>
      <c r="F386" s="2" t="s">
        <v>21</v>
      </c>
      <c r="G386" s="2" t="s">
        <v>10</v>
      </c>
      <c r="H386" s="4">
        <v>3574</v>
      </c>
      <c r="I386" s="4">
        <v>4163.3900000000003</v>
      </c>
      <c r="J386" s="3">
        <v>7.0000000000000007E-2</v>
      </c>
      <c r="K386" s="4">
        <v>291.43729999999999</v>
      </c>
    </row>
    <row r="387" spans="1:11" x14ac:dyDescent="0.3">
      <c r="A387">
        <v>386</v>
      </c>
      <c r="B387" s="1">
        <v>45689</v>
      </c>
      <c r="C387">
        <v>2025</v>
      </c>
      <c r="D387" s="2" t="s">
        <v>31</v>
      </c>
      <c r="E387" s="2" t="s">
        <v>8</v>
      </c>
      <c r="F387" s="2" t="s">
        <v>14</v>
      </c>
      <c r="G387" s="2" t="s">
        <v>19</v>
      </c>
      <c r="H387" s="4">
        <v>4129</v>
      </c>
      <c r="I387" s="4">
        <v>5348.91</v>
      </c>
      <c r="J387" s="3">
        <v>0.04</v>
      </c>
      <c r="K387" s="4">
        <v>213.9564</v>
      </c>
    </row>
    <row r="388" spans="1:11" x14ac:dyDescent="0.3">
      <c r="A388">
        <v>387</v>
      </c>
      <c r="B388" s="1">
        <v>45690</v>
      </c>
      <c r="C388">
        <v>2025</v>
      </c>
      <c r="D388" s="2" t="s">
        <v>31</v>
      </c>
      <c r="E388" s="2" t="s">
        <v>8</v>
      </c>
      <c r="F388" s="2" t="s">
        <v>20</v>
      </c>
      <c r="G388" s="2" t="s">
        <v>16</v>
      </c>
      <c r="H388" s="4">
        <v>4403</v>
      </c>
      <c r="I388" s="4">
        <v>6283.86</v>
      </c>
      <c r="J388" s="3">
        <v>0.04</v>
      </c>
      <c r="K388" s="4">
        <v>251.3544</v>
      </c>
    </row>
    <row r="389" spans="1:11" x14ac:dyDescent="0.3">
      <c r="A389">
        <v>388</v>
      </c>
      <c r="B389" s="1">
        <v>45691</v>
      </c>
      <c r="C389">
        <v>2025</v>
      </c>
      <c r="D389" s="2" t="s">
        <v>31</v>
      </c>
      <c r="E389" s="2" t="s">
        <v>8</v>
      </c>
      <c r="F389" s="2" t="s">
        <v>18</v>
      </c>
      <c r="G389" s="2" t="s">
        <v>10</v>
      </c>
      <c r="H389" s="4">
        <v>2588</v>
      </c>
      <c r="I389" s="4">
        <v>1901.25</v>
      </c>
      <c r="J389" s="3">
        <v>0.04</v>
      </c>
      <c r="K389" s="4">
        <v>76.05</v>
      </c>
    </row>
    <row r="390" spans="1:11" x14ac:dyDescent="0.3">
      <c r="A390">
        <v>389</v>
      </c>
      <c r="B390" s="1">
        <v>45692</v>
      </c>
      <c r="C390">
        <v>2025</v>
      </c>
      <c r="D390" s="2" t="s">
        <v>31</v>
      </c>
      <c r="E390" s="2" t="s">
        <v>17</v>
      </c>
      <c r="F390" s="2" t="s">
        <v>21</v>
      </c>
      <c r="G390" s="2" t="s">
        <v>10</v>
      </c>
      <c r="H390" s="4">
        <v>4012</v>
      </c>
      <c r="I390" s="4">
        <v>3608.06</v>
      </c>
      <c r="J390" s="3">
        <v>7.0000000000000007E-2</v>
      </c>
      <c r="K390" s="4">
        <v>252.5642</v>
      </c>
    </row>
    <row r="391" spans="1:11" x14ac:dyDescent="0.3">
      <c r="A391">
        <v>390</v>
      </c>
      <c r="B391" s="1">
        <v>45693</v>
      </c>
      <c r="C391">
        <v>2025</v>
      </c>
      <c r="D391" s="2" t="s">
        <v>31</v>
      </c>
      <c r="E391" s="2" t="s">
        <v>17</v>
      </c>
      <c r="F391" s="2" t="s">
        <v>20</v>
      </c>
      <c r="G391" s="2" t="s">
        <v>16</v>
      </c>
      <c r="H391" s="4">
        <v>3547</v>
      </c>
      <c r="I391" s="4">
        <v>2314.12</v>
      </c>
      <c r="J391" s="3">
        <v>7.0000000000000007E-2</v>
      </c>
      <c r="K391" s="4">
        <v>161.98840000000001</v>
      </c>
    </row>
    <row r="392" spans="1:11" x14ac:dyDescent="0.3">
      <c r="A392">
        <v>391</v>
      </c>
      <c r="B392" s="1">
        <v>45694</v>
      </c>
      <c r="C392">
        <v>2025</v>
      </c>
      <c r="D392" s="2" t="s">
        <v>31</v>
      </c>
      <c r="E392" s="2" t="s">
        <v>8</v>
      </c>
      <c r="F392" s="2" t="s">
        <v>9</v>
      </c>
      <c r="G392" s="2" t="s">
        <v>10</v>
      </c>
      <c r="H392" s="4">
        <v>2294</v>
      </c>
      <c r="I392" s="4">
        <v>3423.76</v>
      </c>
      <c r="J392" s="3">
        <v>0.04</v>
      </c>
      <c r="K392" s="4">
        <v>136.9504</v>
      </c>
    </row>
    <row r="393" spans="1:11" x14ac:dyDescent="0.3">
      <c r="A393">
        <v>392</v>
      </c>
      <c r="B393" s="1">
        <v>45695</v>
      </c>
      <c r="C393">
        <v>2025</v>
      </c>
      <c r="D393" s="2" t="s">
        <v>31</v>
      </c>
      <c r="E393" s="2" t="s">
        <v>8</v>
      </c>
      <c r="F393" s="2" t="s">
        <v>12</v>
      </c>
      <c r="G393" s="2" t="s">
        <v>10</v>
      </c>
      <c r="H393" s="4">
        <v>3985</v>
      </c>
      <c r="I393" s="4">
        <v>5686.6</v>
      </c>
      <c r="J393" s="3">
        <v>0.04</v>
      </c>
      <c r="K393" s="4">
        <v>227.464</v>
      </c>
    </row>
    <row r="394" spans="1:11" x14ac:dyDescent="0.3">
      <c r="A394">
        <v>393</v>
      </c>
      <c r="B394" s="1">
        <v>45696</v>
      </c>
      <c r="C394">
        <v>2025</v>
      </c>
      <c r="D394" s="2" t="s">
        <v>31</v>
      </c>
      <c r="E394" s="2" t="s">
        <v>17</v>
      </c>
      <c r="F394" s="2" t="s">
        <v>14</v>
      </c>
      <c r="G394" s="2" t="s">
        <v>13</v>
      </c>
      <c r="H394" s="4">
        <v>3247</v>
      </c>
      <c r="I394" s="4">
        <v>3376.74</v>
      </c>
      <c r="J394" s="3">
        <v>7.0000000000000007E-2</v>
      </c>
      <c r="K394" s="4">
        <v>236.37180000000001</v>
      </c>
    </row>
    <row r="395" spans="1:11" x14ac:dyDescent="0.3">
      <c r="A395">
        <v>394</v>
      </c>
      <c r="B395" s="1">
        <v>45697</v>
      </c>
      <c r="C395">
        <v>2025</v>
      </c>
      <c r="D395" s="2" t="s">
        <v>31</v>
      </c>
      <c r="E395" s="2" t="s">
        <v>8</v>
      </c>
      <c r="F395" s="2" t="s">
        <v>15</v>
      </c>
      <c r="G395" s="2" t="s">
        <v>16</v>
      </c>
      <c r="H395" s="4">
        <v>3548</v>
      </c>
      <c r="I395" s="4">
        <v>4761.53</v>
      </c>
      <c r="J395" s="3">
        <v>0.04</v>
      </c>
      <c r="K395" s="4">
        <v>190.46119999999999</v>
      </c>
    </row>
    <row r="396" spans="1:11" x14ac:dyDescent="0.3">
      <c r="A396">
        <v>395</v>
      </c>
      <c r="B396" s="1">
        <v>45698</v>
      </c>
      <c r="C396">
        <v>2025</v>
      </c>
      <c r="D396" s="2" t="s">
        <v>31</v>
      </c>
      <c r="E396" s="2" t="s">
        <v>11</v>
      </c>
      <c r="F396" s="2" t="s">
        <v>15</v>
      </c>
      <c r="G396" s="2" t="s">
        <v>19</v>
      </c>
      <c r="H396" s="4">
        <v>3690</v>
      </c>
      <c r="I396" s="4">
        <v>3767.33</v>
      </c>
      <c r="J396" s="3">
        <v>0.05</v>
      </c>
      <c r="K396" s="4">
        <v>188.3665</v>
      </c>
    </row>
    <row r="397" spans="1:11" x14ac:dyDescent="0.3">
      <c r="A397">
        <v>396</v>
      </c>
      <c r="B397" s="1">
        <v>45699</v>
      </c>
      <c r="C397">
        <v>2025</v>
      </c>
      <c r="D397" s="2" t="s">
        <v>31</v>
      </c>
      <c r="E397" s="2" t="s">
        <v>17</v>
      </c>
      <c r="F397" s="2" t="s">
        <v>18</v>
      </c>
      <c r="G397" s="2" t="s">
        <v>10</v>
      </c>
      <c r="H397" s="4">
        <v>3136</v>
      </c>
      <c r="I397" s="4">
        <v>3523.56</v>
      </c>
      <c r="J397" s="3">
        <v>7.0000000000000007E-2</v>
      </c>
      <c r="K397" s="4">
        <v>246.64920000000001</v>
      </c>
    </row>
    <row r="398" spans="1:11" x14ac:dyDescent="0.3">
      <c r="A398">
        <v>397</v>
      </c>
      <c r="B398" s="1">
        <v>45700</v>
      </c>
      <c r="C398">
        <v>2025</v>
      </c>
      <c r="D398" s="2" t="s">
        <v>31</v>
      </c>
      <c r="E398" s="2" t="s">
        <v>8</v>
      </c>
      <c r="F398" s="2" t="s">
        <v>9</v>
      </c>
      <c r="G398" s="2" t="s">
        <v>16</v>
      </c>
      <c r="H398" s="4">
        <v>3256</v>
      </c>
      <c r="I398" s="4">
        <v>1918.19</v>
      </c>
      <c r="J398" s="3">
        <v>0.04</v>
      </c>
      <c r="K398" s="4">
        <v>76.727599999999995</v>
      </c>
    </row>
    <row r="399" spans="1:11" x14ac:dyDescent="0.3">
      <c r="A399">
        <v>398</v>
      </c>
      <c r="B399" s="1">
        <v>45701</v>
      </c>
      <c r="C399">
        <v>2025</v>
      </c>
      <c r="D399" s="2" t="s">
        <v>31</v>
      </c>
      <c r="E399" s="2" t="s">
        <v>17</v>
      </c>
      <c r="F399" s="2" t="s">
        <v>14</v>
      </c>
      <c r="G399" s="2" t="s">
        <v>13</v>
      </c>
      <c r="H399" s="4">
        <v>4064</v>
      </c>
      <c r="I399" s="4">
        <v>5101.42</v>
      </c>
      <c r="J399" s="3">
        <v>7.0000000000000007E-2</v>
      </c>
      <c r="K399" s="4">
        <v>357.0994</v>
      </c>
    </row>
    <row r="400" spans="1:11" x14ac:dyDescent="0.3">
      <c r="A400">
        <v>399</v>
      </c>
      <c r="B400" s="1">
        <v>45702</v>
      </c>
      <c r="C400">
        <v>2025</v>
      </c>
      <c r="D400" s="2" t="s">
        <v>31</v>
      </c>
      <c r="E400" s="2" t="s">
        <v>11</v>
      </c>
      <c r="F400" s="2" t="s">
        <v>9</v>
      </c>
      <c r="G400" s="2" t="s">
        <v>19</v>
      </c>
      <c r="H400" s="4">
        <v>2359</v>
      </c>
      <c r="I400" s="4">
        <v>1480.78</v>
      </c>
      <c r="J400" s="3">
        <v>0.05</v>
      </c>
      <c r="K400" s="4">
        <v>74.039000000000001</v>
      </c>
    </row>
    <row r="401" spans="1:11" x14ac:dyDescent="0.3">
      <c r="A401">
        <v>400</v>
      </c>
      <c r="B401" s="1">
        <v>45704</v>
      </c>
      <c r="C401">
        <v>2025</v>
      </c>
      <c r="D401" s="2" t="s">
        <v>31</v>
      </c>
      <c r="E401" s="2" t="s">
        <v>17</v>
      </c>
      <c r="F401" s="2" t="s">
        <v>18</v>
      </c>
      <c r="G401" s="2" t="s">
        <v>19</v>
      </c>
      <c r="H401" s="4">
        <v>2699</v>
      </c>
      <c r="I401" s="4">
        <v>3460.19</v>
      </c>
      <c r="J401" s="3">
        <v>7.0000000000000007E-2</v>
      </c>
      <c r="K401" s="4">
        <v>242.2133</v>
      </c>
    </row>
    <row r="402" spans="1:11" x14ac:dyDescent="0.3">
      <c r="A402">
        <v>401</v>
      </c>
      <c r="B402" s="1">
        <v>45705</v>
      </c>
      <c r="C402">
        <v>2025</v>
      </c>
      <c r="D402" s="2" t="s">
        <v>31</v>
      </c>
      <c r="E402" s="2" t="s">
        <v>17</v>
      </c>
      <c r="F402" s="2" t="s">
        <v>18</v>
      </c>
      <c r="G402" s="2" t="s">
        <v>19</v>
      </c>
      <c r="H402" s="4">
        <v>2447</v>
      </c>
      <c r="I402" s="4">
        <v>2957.8</v>
      </c>
      <c r="J402" s="3">
        <v>7.0000000000000007E-2</v>
      </c>
      <c r="K402" s="4">
        <v>207.04599999999999</v>
      </c>
    </row>
    <row r="403" spans="1:11" x14ac:dyDescent="0.3">
      <c r="A403">
        <v>402</v>
      </c>
      <c r="B403" s="1">
        <v>45706</v>
      </c>
      <c r="C403">
        <v>2025</v>
      </c>
      <c r="D403" s="2" t="s">
        <v>31</v>
      </c>
      <c r="E403" s="2" t="s">
        <v>17</v>
      </c>
      <c r="F403" s="2" t="s">
        <v>15</v>
      </c>
      <c r="G403" s="2" t="s">
        <v>19</v>
      </c>
      <c r="H403" s="4">
        <v>4903</v>
      </c>
      <c r="I403" s="4">
        <v>2628.79</v>
      </c>
      <c r="J403" s="3">
        <v>7.0000000000000007E-2</v>
      </c>
      <c r="K403" s="4">
        <v>184.0153</v>
      </c>
    </row>
    <row r="404" spans="1:11" x14ac:dyDescent="0.3">
      <c r="A404">
        <v>403</v>
      </c>
      <c r="B404" s="1">
        <v>45707</v>
      </c>
      <c r="C404">
        <v>2025</v>
      </c>
      <c r="D404" s="2" t="s">
        <v>31</v>
      </c>
      <c r="E404" s="2" t="s">
        <v>11</v>
      </c>
      <c r="F404" s="2" t="s">
        <v>9</v>
      </c>
      <c r="G404" s="2" t="s">
        <v>10</v>
      </c>
      <c r="H404" s="4">
        <v>4412</v>
      </c>
      <c r="I404" s="4">
        <v>3543.4</v>
      </c>
      <c r="J404" s="3">
        <v>0.05</v>
      </c>
      <c r="K404" s="4">
        <v>177.17</v>
      </c>
    </row>
    <row r="405" spans="1:11" x14ac:dyDescent="0.3">
      <c r="A405">
        <v>404</v>
      </c>
      <c r="B405" s="1">
        <v>45708</v>
      </c>
      <c r="C405">
        <v>2025</v>
      </c>
      <c r="D405" s="2" t="s">
        <v>31</v>
      </c>
      <c r="E405" s="2" t="s">
        <v>17</v>
      </c>
      <c r="F405" s="2" t="s">
        <v>21</v>
      </c>
      <c r="G405" s="2" t="s">
        <v>10</v>
      </c>
      <c r="H405" s="4">
        <v>2674</v>
      </c>
      <c r="I405" s="4">
        <v>2040.56</v>
      </c>
      <c r="J405" s="3">
        <v>7.0000000000000007E-2</v>
      </c>
      <c r="K405" s="4">
        <v>142.83920000000001</v>
      </c>
    </row>
    <row r="406" spans="1:11" x14ac:dyDescent="0.3">
      <c r="A406">
        <v>405</v>
      </c>
      <c r="B406" s="1">
        <v>45709</v>
      </c>
      <c r="C406">
        <v>2025</v>
      </c>
      <c r="D406" s="2" t="s">
        <v>31</v>
      </c>
      <c r="E406" s="2" t="s">
        <v>17</v>
      </c>
      <c r="F406" s="2" t="s">
        <v>15</v>
      </c>
      <c r="G406" s="2" t="s">
        <v>13</v>
      </c>
      <c r="H406" s="4">
        <v>3007</v>
      </c>
      <c r="I406" s="4">
        <v>2586.4299999999998</v>
      </c>
      <c r="J406" s="3">
        <v>7.0000000000000007E-2</v>
      </c>
      <c r="K406" s="4">
        <v>181.05009999999999</v>
      </c>
    </row>
    <row r="407" spans="1:11" x14ac:dyDescent="0.3">
      <c r="A407">
        <v>406</v>
      </c>
      <c r="B407" s="1">
        <v>45710</v>
      </c>
      <c r="C407">
        <v>2025</v>
      </c>
      <c r="D407" s="2" t="s">
        <v>31</v>
      </c>
      <c r="E407" s="2" t="s">
        <v>8</v>
      </c>
      <c r="F407" s="2" t="s">
        <v>9</v>
      </c>
      <c r="G407" s="2" t="s">
        <v>13</v>
      </c>
      <c r="H407" s="4">
        <v>3349</v>
      </c>
      <c r="I407" s="4">
        <v>1968.02</v>
      </c>
      <c r="J407" s="3">
        <v>0.04</v>
      </c>
      <c r="K407" s="4">
        <v>78.720799999999997</v>
      </c>
    </row>
    <row r="408" spans="1:11" x14ac:dyDescent="0.3">
      <c r="A408">
        <v>407</v>
      </c>
      <c r="B408" s="1">
        <v>45711</v>
      </c>
      <c r="C408">
        <v>2025</v>
      </c>
      <c r="D408" s="2" t="s">
        <v>31</v>
      </c>
      <c r="E408" s="2" t="s">
        <v>17</v>
      </c>
      <c r="F408" s="2" t="s">
        <v>15</v>
      </c>
      <c r="G408" s="2" t="s">
        <v>16</v>
      </c>
      <c r="H408" s="4">
        <v>4514</v>
      </c>
      <c r="I408" s="4">
        <v>6486.43</v>
      </c>
      <c r="J408" s="3">
        <v>7.0000000000000007E-2</v>
      </c>
      <c r="K408" s="4">
        <v>454.05009999999999</v>
      </c>
    </row>
    <row r="409" spans="1:11" x14ac:dyDescent="0.3">
      <c r="A409">
        <v>408</v>
      </c>
      <c r="B409" s="1">
        <v>45712</v>
      </c>
      <c r="C409">
        <v>2025</v>
      </c>
      <c r="D409" s="2" t="s">
        <v>31</v>
      </c>
      <c r="E409" s="2" t="s">
        <v>8</v>
      </c>
      <c r="F409" s="2" t="s">
        <v>21</v>
      </c>
      <c r="G409" s="2" t="s">
        <v>13</v>
      </c>
      <c r="H409" s="4">
        <v>4461</v>
      </c>
      <c r="I409" s="4">
        <v>4701.01</v>
      </c>
      <c r="J409" s="3">
        <v>0.04</v>
      </c>
      <c r="K409" s="4">
        <v>188.04040000000001</v>
      </c>
    </row>
    <row r="410" spans="1:11" x14ac:dyDescent="0.3">
      <c r="A410">
        <v>409</v>
      </c>
      <c r="B410" s="1">
        <v>45713</v>
      </c>
      <c r="C410">
        <v>2025</v>
      </c>
      <c r="D410" s="2" t="s">
        <v>31</v>
      </c>
      <c r="E410" s="2" t="s">
        <v>11</v>
      </c>
      <c r="F410" s="2" t="s">
        <v>12</v>
      </c>
      <c r="G410" s="2" t="s">
        <v>19</v>
      </c>
      <c r="H410" s="4">
        <v>2585</v>
      </c>
      <c r="I410" s="4">
        <v>2082.2800000000002</v>
      </c>
      <c r="J410" s="3">
        <v>0.05</v>
      </c>
      <c r="K410" s="4">
        <v>104.114</v>
      </c>
    </row>
    <row r="411" spans="1:11" x14ac:dyDescent="0.3">
      <c r="A411">
        <v>410</v>
      </c>
      <c r="B411" s="1">
        <v>45714</v>
      </c>
      <c r="C411">
        <v>2025</v>
      </c>
      <c r="D411" s="2" t="s">
        <v>31</v>
      </c>
      <c r="E411" s="2" t="s">
        <v>11</v>
      </c>
      <c r="F411" s="2" t="s">
        <v>12</v>
      </c>
      <c r="G411" s="2" t="s">
        <v>19</v>
      </c>
      <c r="H411" s="4">
        <v>3256</v>
      </c>
      <c r="I411" s="4">
        <v>2920.57</v>
      </c>
      <c r="J411" s="3">
        <v>0.05</v>
      </c>
      <c r="K411" s="4">
        <v>146.02850000000001</v>
      </c>
    </row>
    <row r="412" spans="1:11" x14ac:dyDescent="0.3">
      <c r="A412">
        <v>411</v>
      </c>
      <c r="B412" s="1">
        <v>45715</v>
      </c>
      <c r="C412">
        <v>2025</v>
      </c>
      <c r="D412" s="2" t="s">
        <v>31</v>
      </c>
      <c r="E412" s="2" t="s">
        <v>11</v>
      </c>
      <c r="F412" s="2" t="s">
        <v>12</v>
      </c>
      <c r="G412" s="2" t="s">
        <v>10</v>
      </c>
      <c r="H412" s="4">
        <v>3247</v>
      </c>
      <c r="I412" s="4">
        <v>3075.57</v>
      </c>
      <c r="J412" s="3">
        <v>0.05</v>
      </c>
      <c r="K412" s="4">
        <v>153.77850000000001</v>
      </c>
    </row>
    <row r="413" spans="1:11" x14ac:dyDescent="0.3">
      <c r="A413">
        <v>412</v>
      </c>
      <c r="B413" s="1">
        <v>45716</v>
      </c>
      <c r="C413">
        <v>2025</v>
      </c>
      <c r="D413" s="2" t="s">
        <v>31</v>
      </c>
      <c r="E413" s="2" t="s">
        <v>11</v>
      </c>
      <c r="F413" s="2" t="s">
        <v>12</v>
      </c>
      <c r="G413" s="2" t="s">
        <v>19</v>
      </c>
      <c r="H413" s="4">
        <v>2993</v>
      </c>
      <c r="I413" s="4">
        <v>3294.08</v>
      </c>
      <c r="J413" s="3">
        <v>0.05</v>
      </c>
      <c r="K413" s="4">
        <v>164.70400000000001</v>
      </c>
    </row>
    <row r="414" spans="1:11" x14ac:dyDescent="0.3">
      <c r="A414">
        <v>413</v>
      </c>
      <c r="B414" s="1">
        <v>45717</v>
      </c>
      <c r="C414">
        <v>2025</v>
      </c>
      <c r="D414" s="2" t="s">
        <v>32</v>
      </c>
      <c r="E414" s="2" t="s">
        <v>8</v>
      </c>
      <c r="F414" s="2" t="s">
        <v>20</v>
      </c>
      <c r="G414" s="2" t="s">
        <v>16</v>
      </c>
      <c r="H414" s="4">
        <v>3435</v>
      </c>
      <c r="I414" s="4">
        <v>3488.86</v>
      </c>
      <c r="J414" s="3">
        <v>0.04</v>
      </c>
      <c r="K414" s="4">
        <v>139.55439999999999</v>
      </c>
    </row>
    <row r="415" spans="1:11" x14ac:dyDescent="0.3">
      <c r="A415">
        <v>414</v>
      </c>
      <c r="B415" s="1">
        <v>45718</v>
      </c>
      <c r="C415">
        <v>2025</v>
      </c>
      <c r="D415" s="2" t="s">
        <v>32</v>
      </c>
      <c r="E415" s="2" t="s">
        <v>17</v>
      </c>
      <c r="F415" s="2" t="s">
        <v>14</v>
      </c>
      <c r="G415" s="2" t="s">
        <v>19</v>
      </c>
      <c r="H415" s="4">
        <v>2571</v>
      </c>
      <c r="I415" s="4">
        <v>3649.26</v>
      </c>
      <c r="J415" s="3">
        <v>7.0000000000000007E-2</v>
      </c>
      <c r="K415" s="4">
        <v>255.44820000000001</v>
      </c>
    </row>
    <row r="416" spans="1:11" x14ac:dyDescent="0.3">
      <c r="A416">
        <v>415</v>
      </c>
      <c r="B416" s="1">
        <v>45719</v>
      </c>
      <c r="C416">
        <v>2025</v>
      </c>
      <c r="D416" s="2" t="s">
        <v>32</v>
      </c>
      <c r="E416" s="2" t="s">
        <v>11</v>
      </c>
      <c r="F416" s="2" t="s">
        <v>20</v>
      </c>
      <c r="G416" s="2" t="s">
        <v>19</v>
      </c>
      <c r="H416" s="4">
        <v>4382</v>
      </c>
      <c r="I416" s="4">
        <v>4368.6899999999996</v>
      </c>
      <c r="J416" s="3">
        <v>0.05</v>
      </c>
      <c r="K416" s="4">
        <v>218.43450000000001</v>
      </c>
    </row>
    <row r="417" spans="1:11" x14ac:dyDescent="0.3">
      <c r="A417">
        <v>416</v>
      </c>
      <c r="B417" s="1">
        <v>45720</v>
      </c>
      <c r="C417">
        <v>2025</v>
      </c>
      <c r="D417" s="2" t="s">
        <v>32</v>
      </c>
      <c r="E417" s="2" t="s">
        <v>17</v>
      </c>
      <c r="F417" s="2" t="s">
        <v>20</v>
      </c>
      <c r="G417" s="2" t="s">
        <v>16</v>
      </c>
      <c r="H417" s="4">
        <v>3245</v>
      </c>
      <c r="I417" s="4">
        <v>4842.05</v>
      </c>
      <c r="J417" s="3">
        <v>7.0000000000000007E-2</v>
      </c>
      <c r="K417" s="4">
        <v>338.94349999999997</v>
      </c>
    </row>
    <row r="418" spans="1:11" x14ac:dyDescent="0.3">
      <c r="A418">
        <v>417</v>
      </c>
      <c r="B418" s="1">
        <v>45721</v>
      </c>
      <c r="C418">
        <v>2025</v>
      </c>
      <c r="D418" s="2" t="s">
        <v>32</v>
      </c>
      <c r="E418" s="2" t="s">
        <v>8</v>
      </c>
      <c r="F418" s="2" t="s">
        <v>20</v>
      </c>
      <c r="G418" s="2" t="s">
        <v>13</v>
      </c>
      <c r="H418" s="4">
        <v>4084</v>
      </c>
      <c r="I418" s="4">
        <v>5519.22</v>
      </c>
      <c r="J418" s="3">
        <v>0.04</v>
      </c>
      <c r="K418" s="4">
        <v>220.7688</v>
      </c>
    </row>
    <row r="419" spans="1:11" x14ac:dyDescent="0.3">
      <c r="A419">
        <v>418</v>
      </c>
      <c r="B419" s="1">
        <v>45722</v>
      </c>
      <c r="C419">
        <v>2025</v>
      </c>
      <c r="D419" s="2" t="s">
        <v>32</v>
      </c>
      <c r="E419" s="2" t="s">
        <v>8</v>
      </c>
      <c r="F419" s="2" t="s">
        <v>12</v>
      </c>
      <c r="G419" s="2" t="s">
        <v>13</v>
      </c>
      <c r="H419" s="4">
        <v>2988</v>
      </c>
      <c r="I419" s="4">
        <v>2117.0300000000002</v>
      </c>
      <c r="J419" s="3">
        <v>0.04</v>
      </c>
      <c r="K419" s="4">
        <v>84.681200000000004</v>
      </c>
    </row>
    <row r="420" spans="1:11" x14ac:dyDescent="0.3">
      <c r="A420">
        <v>419</v>
      </c>
      <c r="B420" s="1">
        <v>45723</v>
      </c>
      <c r="C420">
        <v>2025</v>
      </c>
      <c r="D420" s="2" t="s">
        <v>32</v>
      </c>
      <c r="E420" s="2" t="s">
        <v>8</v>
      </c>
      <c r="F420" s="2" t="s">
        <v>21</v>
      </c>
      <c r="G420" s="2" t="s">
        <v>16</v>
      </c>
      <c r="H420" s="4">
        <v>2277</v>
      </c>
      <c r="I420" s="4">
        <v>3257.47</v>
      </c>
      <c r="J420" s="3">
        <v>0.04</v>
      </c>
      <c r="K420" s="4">
        <v>130.2988</v>
      </c>
    </row>
    <row r="421" spans="1:11" x14ac:dyDescent="0.3">
      <c r="A421">
        <v>420</v>
      </c>
      <c r="B421" s="1">
        <v>45724</v>
      </c>
      <c r="C421">
        <v>2025</v>
      </c>
      <c r="D421" s="2" t="s">
        <v>32</v>
      </c>
      <c r="E421" s="2" t="s">
        <v>11</v>
      </c>
      <c r="F421" s="2" t="s">
        <v>18</v>
      </c>
      <c r="G421" s="2" t="s">
        <v>10</v>
      </c>
      <c r="H421" s="4">
        <v>3219</v>
      </c>
      <c r="I421" s="4">
        <v>1984.08</v>
      </c>
      <c r="J421" s="3">
        <v>0.05</v>
      </c>
      <c r="K421" s="4">
        <v>99.203999999999994</v>
      </c>
    </row>
    <row r="422" spans="1:11" x14ac:dyDescent="0.3">
      <c r="A422">
        <v>421</v>
      </c>
      <c r="B422" s="1">
        <v>45725</v>
      </c>
      <c r="C422">
        <v>2025</v>
      </c>
      <c r="D422" s="2" t="s">
        <v>32</v>
      </c>
      <c r="E422" s="2" t="s">
        <v>17</v>
      </c>
      <c r="F422" s="2" t="s">
        <v>18</v>
      </c>
      <c r="G422" s="2" t="s">
        <v>19</v>
      </c>
      <c r="H422" s="4">
        <v>4963</v>
      </c>
      <c r="I422" s="4">
        <v>6538.5</v>
      </c>
      <c r="J422" s="3">
        <v>7.0000000000000007E-2</v>
      </c>
      <c r="K422" s="4">
        <v>457.69499999999999</v>
      </c>
    </row>
    <row r="423" spans="1:11" x14ac:dyDescent="0.3">
      <c r="A423">
        <v>422</v>
      </c>
      <c r="B423" s="1">
        <v>45726</v>
      </c>
      <c r="C423">
        <v>2025</v>
      </c>
      <c r="D423" s="2" t="s">
        <v>32</v>
      </c>
      <c r="E423" s="2" t="s">
        <v>17</v>
      </c>
      <c r="F423" s="2" t="s">
        <v>14</v>
      </c>
      <c r="G423" s="2" t="s">
        <v>16</v>
      </c>
      <c r="H423" s="4">
        <v>3887</v>
      </c>
      <c r="I423" s="4">
        <v>3422.98</v>
      </c>
      <c r="J423" s="3">
        <v>7.0000000000000007E-2</v>
      </c>
      <c r="K423" s="4">
        <v>239.6086</v>
      </c>
    </row>
    <row r="424" spans="1:11" x14ac:dyDescent="0.3">
      <c r="A424">
        <v>423</v>
      </c>
      <c r="B424" s="1">
        <v>45727</v>
      </c>
      <c r="C424">
        <v>2025</v>
      </c>
      <c r="D424" s="2" t="s">
        <v>32</v>
      </c>
      <c r="E424" s="2" t="s">
        <v>17</v>
      </c>
      <c r="F424" s="2" t="s">
        <v>12</v>
      </c>
      <c r="G424" s="2" t="s">
        <v>19</v>
      </c>
      <c r="H424" s="4">
        <v>2483</v>
      </c>
      <c r="I424" s="4">
        <v>3421.51</v>
      </c>
      <c r="J424" s="3">
        <v>7.0000000000000007E-2</v>
      </c>
      <c r="K424" s="4">
        <v>239.50569999999999</v>
      </c>
    </row>
    <row r="425" spans="1:11" x14ac:dyDescent="0.3">
      <c r="A425">
        <v>424</v>
      </c>
      <c r="B425" s="1">
        <v>45729</v>
      </c>
      <c r="C425">
        <v>2025</v>
      </c>
      <c r="D425" s="2" t="s">
        <v>32</v>
      </c>
      <c r="E425" s="2" t="s">
        <v>11</v>
      </c>
      <c r="F425" s="2" t="s">
        <v>12</v>
      </c>
      <c r="G425" s="2" t="s">
        <v>19</v>
      </c>
      <c r="H425" s="4">
        <v>2730</v>
      </c>
      <c r="I425" s="4">
        <v>3565.18</v>
      </c>
      <c r="J425" s="3">
        <v>0.05</v>
      </c>
      <c r="K425" s="4">
        <v>178.25899999999999</v>
      </c>
    </row>
    <row r="426" spans="1:11" x14ac:dyDescent="0.3">
      <c r="A426">
        <v>425</v>
      </c>
      <c r="B426" s="1">
        <v>45730</v>
      </c>
      <c r="C426">
        <v>2025</v>
      </c>
      <c r="D426" s="2" t="s">
        <v>32</v>
      </c>
      <c r="E426" s="2" t="s">
        <v>8</v>
      </c>
      <c r="F426" s="2" t="s">
        <v>15</v>
      </c>
      <c r="G426" s="2" t="s">
        <v>16</v>
      </c>
      <c r="H426" s="4">
        <v>4239</v>
      </c>
      <c r="I426" s="4">
        <v>5468.44</v>
      </c>
      <c r="J426" s="3">
        <v>0.04</v>
      </c>
      <c r="K426" s="4">
        <v>218.73759999999999</v>
      </c>
    </row>
    <row r="427" spans="1:11" x14ac:dyDescent="0.3">
      <c r="A427">
        <v>426</v>
      </c>
      <c r="B427" s="1">
        <v>45731</v>
      </c>
      <c r="C427">
        <v>2025</v>
      </c>
      <c r="D427" s="2" t="s">
        <v>32</v>
      </c>
      <c r="E427" s="2" t="s">
        <v>8</v>
      </c>
      <c r="F427" s="2" t="s">
        <v>9</v>
      </c>
      <c r="G427" s="2" t="s">
        <v>19</v>
      </c>
      <c r="H427" s="4">
        <v>3040</v>
      </c>
      <c r="I427" s="4">
        <v>2446.2199999999998</v>
      </c>
      <c r="J427" s="3">
        <v>0.04</v>
      </c>
      <c r="K427" s="4">
        <v>97.848799999999997</v>
      </c>
    </row>
    <row r="428" spans="1:11" x14ac:dyDescent="0.3">
      <c r="A428">
        <v>427</v>
      </c>
      <c r="B428" s="1">
        <v>45732</v>
      </c>
      <c r="C428">
        <v>2025</v>
      </c>
      <c r="D428" s="2" t="s">
        <v>32</v>
      </c>
      <c r="E428" s="2" t="s">
        <v>17</v>
      </c>
      <c r="F428" s="2" t="s">
        <v>15</v>
      </c>
      <c r="G428" s="2" t="s">
        <v>13</v>
      </c>
      <c r="H428" s="4">
        <v>4571</v>
      </c>
      <c r="I428" s="4">
        <v>2655.38</v>
      </c>
      <c r="J428" s="3">
        <v>7.0000000000000007E-2</v>
      </c>
      <c r="K428" s="4">
        <v>185.8766</v>
      </c>
    </row>
    <row r="429" spans="1:11" x14ac:dyDescent="0.3">
      <c r="A429">
        <v>428</v>
      </c>
      <c r="B429" s="1">
        <v>45733</v>
      </c>
      <c r="C429">
        <v>2025</v>
      </c>
      <c r="D429" s="2" t="s">
        <v>32</v>
      </c>
      <c r="E429" s="2" t="s">
        <v>8</v>
      </c>
      <c r="F429" s="2" t="s">
        <v>9</v>
      </c>
      <c r="G429" s="2" t="s">
        <v>10</v>
      </c>
      <c r="H429" s="4">
        <v>2917</v>
      </c>
      <c r="I429" s="4">
        <v>2633.99</v>
      </c>
      <c r="J429" s="3">
        <v>0.04</v>
      </c>
      <c r="K429" s="4">
        <v>105.3596</v>
      </c>
    </row>
    <row r="430" spans="1:11" x14ac:dyDescent="0.3">
      <c r="A430">
        <v>429</v>
      </c>
      <c r="B430" s="1">
        <v>45734</v>
      </c>
      <c r="C430">
        <v>2025</v>
      </c>
      <c r="D430" s="2" t="s">
        <v>32</v>
      </c>
      <c r="E430" s="2" t="s">
        <v>17</v>
      </c>
      <c r="F430" s="2" t="s">
        <v>12</v>
      </c>
      <c r="G430" s="2" t="s">
        <v>10</v>
      </c>
      <c r="H430" s="4">
        <v>4448</v>
      </c>
      <c r="I430" s="4">
        <v>2995.84</v>
      </c>
      <c r="J430" s="3">
        <v>7.0000000000000007E-2</v>
      </c>
      <c r="K430" s="4">
        <v>209.7088</v>
      </c>
    </row>
    <row r="431" spans="1:11" x14ac:dyDescent="0.3">
      <c r="A431">
        <v>430</v>
      </c>
      <c r="B431" s="1">
        <v>45735</v>
      </c>
      <c r="C431">
        <v>2025</v>
      </c>
      <c r="D431" s="2" t="s">
        <v>32</v>
      </c>
      <c r="E431" s="2" t="s">
        <v>11</v>
      </c>
      <c r="F431" s="2" t="s">
        <v>12</v>
      </c>
      <c r="G431" s="2" t="s">
        <v>10</v>
      </c>
      <c r="H431" s="4">
        <v>2885</v>
      </c>
      <c r="I431" s="4">
        <v>3447.43</v>
      </c>
      <c r="J431" s="3">
        <v>0.05</v>
      </c>
      <c r="K431" s="4">
        <v>172.3715</v>
      </c>
    </row>
    <row r="432" spans="1:11" x14ac:dyDescent="0.3">
      <c r="A432">
        <v>431</v>
      </c>
      <c r="B432" s="1">
        <v>45736</v>
      </c>
      <c r="C432">
        <v>2025</v>
      </c>
      <c r="D432" s="2" t="s">
        <v>32</v>
      </c>
      <c r="E432" s="2" t="s">
        <v>17</v>
      </c>
      <c r="F432" s="2" t="s">
        <v>15</v>
      </c>
      <c r="G432" s="2" t="s">
        <v>16</v>
      </c>
      <c r="H432" s="4">
        <v>4752</v>
      </c>
      <c r="I432" s="4">
        <v>4020.67</v>
      </c>
      <c r="J432" s="3">
        <v>7.0000000000000007E-2</v>
      </c>
      <c r="K432" s="4">
        <v>281.44690000000003</v>
      </c>
    </row>
    <row r="433" spans="1:11" x14ac:dyDescent="0.3">
      <c r="A433">
        <v>432</v>
      </c>
      <c r="B433" s="1">
        <v>45737</v>
      </c>
      <c r="C433">
        <v>2025</v>
      </c>
      <c r="D433" s="2" t="s">
        <v>32</v>
      </c>
      <c r="E433" s="2" t="s">
        <v>11</v>
      </c>
      <c r="F433" s="2" t="s">
        <v>15</v>
      </c>
      <c r="G433" s="2" t="s">
        <v>10</v>
      </c>
      <c r="H433" s="4">
        <v>2021</v>
      </c>
      <c r="I433" s="4">
        <v>2982.21</v>
      </c>
      <c r="J433" s="3">
        <v>0.05</v>
      </c>
      <c r="K433" s="4">
        <v>149.1105</v>
      </c>
    </row>
    <row r="434" spans="1:11" x14ac:dyDescent="0.3">
      <c r="A434">
        <v>433</v>
      </c>
      <c r="B434" s="1">
        <v>45738</v>
      </c>
      <c r="C434">
        <v>2025</v>
      </c>
      <c r="D434" s="2" t="s">
        <v>32</v>
      </c>
      <c r="E434" s="2" t="s">
        <v>17</v>
      </c>
      <c r="F434" s="2" t="s">
        <v>9</v>
      </c>
      <c r="G434" s="2" t="s">
        <v>13</v>
      </c>
      <c r="H434" s="4">
        <v>2473</v>
      </c>
      <c r="I434" s="4">
        <v>2821.62</v>
      </c>
      <c r="J434" s="3">
        <v>7.0000000000000007E-2</v>
      </c>
      <c r="K434" s="4">
        <v>197.51339999999999</v>
      </c>
    </row>
    <row r="435" spans="1:11" x14ac:dyDescent="0.3">
      <c r="A435">
        <v>434</v>
      </c>
      <c r="B435" s="1">
        <v>45739</v>
      </c>
      <c r="C435">
        <v>2025</v>
      </c>
      <c r="D435" s="2" t="s">
        <v>32</v>
      </c>
      <c r="E435" s="2" t="s">
        <v>8</v>
      </c>
      <c r="F435" s="2" t="s">
        <v>18</v>
      </c>
      <c r="G435" s="2" t="s">
        <v>16</v>
      </c>
      <c r="H435" s="4">
        <v>4257</v>
      </c>
      <c r="I435" s="4">
        <v>5629.8</v>
      </c>
      <c r="J435" s="3">
        <v>0.04</v>
      </c>
      <c r="K435" s="4">
        <v>225.19200000000001</v>
      </c>
    </row>
    <row r="436" spans="1:11" x14ac:dyDescent="0.3">
      <c r="A436">
        <v>435</v>
      </c>
      <c r="B436" s="1">
        <v>45740</v>
      </c>
      <c r="C436">
        <v>2025</v>
      </c>
      <c r="D436" s="2" t="s">
        <v>32</v>
      </c>
      <c r="E436" s="2" t="s">
        <v>8</v>
      </c>
      <c r="F436" s="2" t="s">
        <v>9</v>
      </c>
      <c r="G436" s="2" t="s">
        <v>13</v>
      </c>
      <c r="H436" s="4">
        <v>4353</v>
      </c>
      <c r="I436" s="4">
        <v>2753.38</v>
      </c>
      <c r="J436" s="3">
        <v>0.04</v>
      </c>
      <c r="K436" s="4">
        <v>110.1352</v>
      </c>
    </row>
    <row r="437" spans="1:11" x14ac:dyDescent="0.3">
      <c r="A437">
        <v>436</v>
      </c>
      <c r="B437" s="1">
        <v>45741</v>
      </c>
      <c r="C437">
        <v>2025</v>
      </c>
      <c r="D437" s="2" t="s">
        <v>32</v>
      </c>
      <c r="E437" s="2" t="s">
        <v>11</v>
      </c>
      <c r="F437" s="2" t="s">
        <v>15</v>
      </c>
      <c r="G437" s="2" t="s">
        <v>19</v>
      </c>
      <c r="H437" s="4">
        <v>2703</v>
      </c>
      <c r="I437" s="4">
        <v>3681.53</v>
      </c>
      <c r="J437" s="3">
        <v>0.05</v>
      </c>
      <c r="K437" s="4">
        <v>184.07650000000001</v>
      </c>
    </row>
    <row r="438" spans="1:11" x14ac:dyDescent="0.3">
      <c r="A438">
        <v>437</v>
      </c>
      <c r="B438" s="1">
        <v>45743</v>
      </c>
      <c r="C438">
        <v>2025</v>
      </c>
      <c r="D438" s="2" t="s">
        <v>32</v>
      </c>
      <c r="E438" s="2" t="s">
        <v>11</v>
      </c>
      <c r="F438" s="2" t="s">
        <v>15</v>
      </c>
      <c r="G438" s="2" t="s">
        <v>19</v>
      </c>
      <c r="H438" s="4">
        <v>2284</v>
      </c>
      <c r="I438" s="4">
        <v>2254.4499999999998</v>
      </c>
      <c r="J438" s="3">
        <v>0.05</v>
      </c>
      <c r="K438" s="4">
        <v>112.7225</v>
      </c>
    </row>
    <row r="439" spans="1:11" x14ac:dyDescent="0.3">
      <c r="A439">
        <v>438</v>
      </c>
      <c r="B439" s="1">
        <v>45744</v>
      </c>
      <c r="C439">
        <v>2025</v>
      </c>
      <c r="D439" s="2" t="s">
        <v>32</v>
      </c>
      <c r="E439" s="2" t="s">
        <v>17</v>
      </c>
      <c r="F439" s="2" t="s">
        <v>21</v>
      </c>
      <c r="G439" s="2" t="s">
        <v>19</v>
      </c>
      <c r="H439" s="4">
        <v>2715</v>
      </c>
      <c r="I439" s="4">
        <v>3003.48</v>
      </c>
      <c r="J439" s="3">
        <v>7.0000000000000007E-2</v>
      </c>
      <c r="K439" s="4">
        <v>210.24359999999999</v>
      </c>
    </row>
    <row r="440" spans="1:11" x14ac:dyDescent="0.3">
      <c r="A440">
        <v>439</v>
      </c>
      <c r="B440" s="1">
        <v>45745</v>
      </c>
      <c r="C440">
        <v>2025</v>
      </c>
      <c r="D440" s="2" t="s">
        <v>32</v>
      </c>
      <c r="E440" s="2" t="s">
        <v>17</v>
      </c>
      <c r="F440" s="2" t="s">
        <v>14</v>
      </c>
      <c r="G440" s="2" t="s">
        <v>13</v>
      </c>
      <c r="H440" s="4">
        <v>2762</v>
      </c>
      <c r="I440" s="4">
        <v>3493.4</v>
      </c>
      <c r="J440" s="3">
        <v>7.0000000000000007E-2</v>
      </c>
      <c r="K440" s="4">
        <v>244.53800000000001</v>
      </c>
    </row>
    <row r="441" spans="1:11" x14ac:dyDescent="0.3">
      <c r="A441">
        <v>440</v>
      </c>
      <c r="B441" s="1">
        <v>45746</v>
      </c>
      <c r="C441">
        <v>2025</v>
      </c>
      <c r="D441" s="2" t="s">
        <v>32</v>
      </c>
      <c r="E441" s="2" t="s">
        <v>11</v>
      </c>
      <c r="F441" s="2" t="s">
        <v>15</v>
      </c>
      <c r="G441" s="2" t="s">
        <v>16</v>
      </c>
      <c r="H441" s="4">
        <v>3250</v>
      </c>
      <c r="I441" s="4">
        <v>2193.23</v>
      </c>
      <c r="J441" s="3">
        <v>0.05</v>
      </c>
      <c r="K441" s="4">
        <v>109.6615</v>
      </c>
    </row>
    <row r="442" spans="1:11" x14ac:dyDescent="0.3">
      <c r="A442">
        <v>441</v>
      </c>
      <c r="B442" s="1">
        <v>45747</v>
      </c>
      <c r="C442">
        <v>2025</v>
      </c>
      <c r="D442" s="2" t="s">
        <v>32</v>
      </c>
      <c r="E442" s="2" t="s">
        <v>8</v>
      </c>
      <c r="F442" s="2" t="s">
        <v>14</v>
      </c>
      <c r="G442" s="2" t="s">
        <v>16</v>
      </c>
      <c r="H442" s="4">
        <v>2947</v>
      </c>
      <c r="I442" s="4">
        <v>2954.56</v>
      </c>
      <c r="J442" s="3">
        <v>0.04</v>
      </c>
      <c r="K442" s="4">
        <v>118.1824</v>
      </c>
    </row>
    <row r="443" spans="1:11" x14ac:dyDescent="0.3">
      <c r="A443">
        <v>442</v>
      </c>
      <c r="B443" s="1">
        <v>45748</v>
      </c>
      <c r="C443">
        <v>2025</v>
      </c>
      <c r="D443" s="2" t="s">
        <v>33</v>
      </c>
      <c r="E443" s="2" t="s">
        <v>17</v>
      </c>
      <c r="F443" s="2" t="s">
        <v>18</v>
      </c>
      <c r="G443" s="2" t="s">
        <v>10</v>
      </c>
      <c r="H443" s="4">
        <v>4428</v>
      </c>
      <c r="I443" s="4">
        <v>3979.28</v>
      </c>
      <c r="J443" s="3">
        <v>7.0000000000000007E-2</v>
      </c>
      <c r="K443" s="4">
        <v>278.5496</v>
      </c>
    </row>
    <row r="444" spans="1:11" x14ac:dyDescent="0.3">
      <c r="A444">
        <v>443</v>
      </c>
      <c r="B444" s="1">
        <v>45749</v>
      </c>
      <c r="C444">
        <v>2025</v>
      </c>
      <c r="D444" s="2" t="s">
        <v>33</v>
      </c>
      <c r="E444" s="2" t="s">
        <v>17</v>
      </c>
      <c r="F444" s="2" t="s">
        <v>9</v>
      </c>
      <c r="G444" s="2" t="s">
        <v>13</v>
      </c>
      <c r="H444" s="4">
        <v>4507</v>
      </c>
      <c r="I444" s="4">
        <v>2913.21</v>
      </c>
      <c r="J444" s="3">
        <v>7.0000000000000007E-2</v>
      </c>
      <c r="K444" s="4">
        <v>203.9247</v>
      </c>
    </row>
    <row r="445" spans="1:11" x14ac:dyDescent="0.3">
      <c r="A445">
        <v>444</v>
      </c>
      <c r="B445" s="1">
        <v>45750</v>
      </c>
      <c r="C445">
        <v>2025</v>
      </c>
      <c r="D445" s="2" t="s">
        <v>33</v>
      </c>
      <c r="E445" s="2" t="s">
        <v>17</v>
      </c>
      <c r="F445" s="2" t="s">
        <v>21</v>
      </c>
      <c r="G445" s="2" t="s">
        <v>19</v>
      </c>
      <c r="H445" s="4">
        <v>3030</v>
      </c>
      <c r="I445" s="4">
        <v>2628.63</v>
      </c>
      <c r="J445" s="3">
        <v>7.0000000000000007E-2</v>
      </c>
      <c r="K445" s="4">
        <v>184.00409999999999</v>
      </c>
    </row>
    <row r="446" spans="1:11" x14ac:dyDescent="0.3">
      <c r="A446">
        <v>445</v>
      </c>
      <c r="B446" s="1">
        <v>45751</v>
      </c>
      <c r="C446">
        <v>2025</v>
      </c>
      <c r="D446" s="2" t="s">
        <v>33</v>
      </c>
      <c r="E446" s="2" t="s">
        <v>11</v>
      </c>
      <c r="F446" s="2" t="s">
        <v>9</v>
      </c>
      <c r="G446" s="2" t="s">
        <v>13</v>
      </c>
      <c r="H446" s="4">
        <v>2028</v>
      </c>
      <c r="I446" s="4">
        <v>1152.25</v>
      </c>
      <c r="J446" s="3">
        <v>0.05</v>
      </c>
      <c r="K446" s="4">
        <v>57.612499999999997</v>
      </c>
    </row>
    <row r="447" spans="1:11" x14ac:dyDescent="0.3">
      <c r="A447">
        <v>446</v>
      </c>
      <c r="B447" s="1">
        <v>45752</v>
      </c>
      <c r="C447">
        <v>2025</v>
      </c>
      <c r="D447" s="2" t="s">
        <v>33</v>
      </c>
      <c r="E447" s="2" t="s">
        <v>11</v>
      </c>
      <c r="F447" s="2" t="s">
        <v>14</v>
      </c>
      <c r="G447" s="2" t="s">
        <v>10</v>
      </c>
      <c r="H447" s="4">
        <v>2906</v>
      </c>
      <c r="I447" s="4">
        <v>1528.01</v>
      </c>
      <c r="J447" s="3">
        <v>0.05</v>
      </c>
      <c r="K447" s="4">
        <v>76.400499999999994</v>
      </c>
    </row>
    <row r="448" spans="1:11" x14ac:dyDescent="0.3">
      <c r="A448">
        <v>447</v>
      </c>
      <c r="B448" s="1">
        <v>45753</v>
      </c>
      <c r="C448">
        <v>2025</v>
      </c>
      <c r="D448" s="2" t="s">
        <v>33</v>
      </c>
      <c r="E448" s="2" t="s">
        <v>11</v>
      </c>
      <c r="F448" s="2" t="s">
        <v>21</v>
      </c>
      <c r="G448" s="2" t="s">
        <v>10</v>
      </c>
      <c r="H448" s="4">
        <v>4926</v>
      </c>
      <c r="I448" s="4">
        <v>3128.83</v>
      </c>
      <c r="J448" s="3">
        <v>0.05</v>
      </c>
      <c r="K448" s="4">
        <v>156.44149999999999</v>
      </c>
    </row>
    <row r="449" spans="1:11" x14ac:dyDescent="0.3">
      <c r="A449">
        <v>448</v>
      </c>
      <c r="B449" s="1">
        <v>45754</v>
      </c>
      <c r="C449">
        <v>2025</v>
      </c>
      <c r="D449" s="2" t="s">
        <v>33</v>
      </c>
      <c r="E449" s="2" t="s">
        <v>11</v>
      </c>
      <c r="F449" s="2" t="s">
        <v>9</v>
      </c>
      <c r="G449" s="2" t="s">
        <v>13</v>
      </c>
      <c r="H449" s="4">
        <v>4126</v>
      </c>
      <c r="I449" s="4">
        <v>6036.81</v>
      </c>
      <c r="J449" s="3">
        <v>0.05</v>
      </c>
      <c r="K449" s="4">
        <v>301.84050000000002</v>
      </c>
    </row>
    <row r="450" spans="1:11" x14ac:dyDescent="0.3">
      <c r="A450">
        <v>449</v>
      </c>
      <c r="B450" s="1">
        <v>45755</v>
      </c>
      <c r="C450">
        <v>2025</v>
      </c>
      <c r="D450" s="2" t="s">
        <v>33</v>
      </c>
      <c r="E450" s="2" t="s">
        <v>11</v>
      </c>
      <c r="F450" s="2" t="s">
        <v>15</v>
      </c>
      <c r="G450" s="2" t="s">
        <v>13</v>
      </c>
      <c r="H450" s="4">
        <v>4994</v>
      </c>
      <c r="I450" s="4">
        <v>5241.3500000000004</v>
      </c>
      <c r="J450" s="3">
        <v>0.05</v>
      </c>
      <c r="K450" s="4">
        <v>262.0675</v>
      </c>
    </row>
    <row r="451" spans="1:11" x14ac:dyDescent="0.3">
      <c r="A451">
        <v>450</v>
      </c>
      <c r="B451" s="1">
        <v>45756</v>
      </c>
      <c r="C451">
        <v>2025</v>
      </c>
      <c r="D451" s="2" t="s">
        <v>33</v>
      </c>
      <c r="E451" s="2" t="s">
        <v>8</v>
      </c>
      <c r="F451" s="2" t="s">
        <v>12</v>
      </c>
      <c r="G451" s="2" t="s">
        <v>13</v>
      </c>
      <c r="H451" s="4">
        <v>4506</v>
      </c>
      <c r="I451" s="4">
        <v>6604.99</v>
      </c>
      <c r="J451" s="3">
        <v>0.04</v>
      </c>
      <c r="K451" s="4">
        <v>264.19959999999998</v>
      </c>
    </row>
    <row r="452" spans="1:11" x14ac:dyDescent="0.3">
      <c r="A452">
        <v>451</v>
      </c>
      <c r="B452" s="1">
        <v>45757</v>
      </c>
      <c r="C452">
        <v>2025</v>
      </c>
      <c r="D452" s="2" t="s">
        <v>33</v>
      </c>
      <c r="E452" s="2" t="s">
        <v>8</v>
      </c>
      <c r="F452" s="2" t="s">
        <v>14</v>
      </c>
      <c r="G452" s="2" t="s">
        <v>16</v>
      </c>
      <c r="H452" s="4">
        <v>2569</v>
      </c>
      <c r="I452" s="4">
        <v>2395.59</v>
      </c>
      <c r="J452" s="3">
        <v>0.04</v>
      </c>
      <c r="K452" s="4">
        <v>95.823599999999999</v>
      </c>
    </row>
    <row r="453" spans="1:11" x14ac:dyDescent="0.3">
      <c r="A453">
        <v>452</v>
      </c>
      <c r="B453" s="1">
        <v>45758</v>
      </c>
      <c r="C453">
        <v>2025</v>
      </c>
      <c r="D453" s="2" t="s">
        <v>33</v>
      </c>
      <c r="E453" s="2" t="s">
        <v>11</v>
      </c>
      <c r="F453" s="2" t="s">
        <v>9</v>
      </c>
      <c r="G453" s="2" t="s">
        <v>19</v>
      </c>
      <c r="H453" s="4">
        <v>4006</v>
      </c>
      <c r="I453" s="4">
        <v>3252.14</v>
      </c>
      <c r="J453" s="3">
        <v>0.05</v>
      </c>
      <c r="K453" s="4">
        <v>162.607</v>
      </c>
    </row>
    <row r="454" spans="1:11" x14ac:dyDescent="0.3">
      <c r="A454">
        <v>453</v>
      </c>
      <c r="B454" s="1">
        <v>45759</v>
      </c>
      <c r="C454">
        <v>2025</v>
      </c>
      <c r="D454" s="2" t="s">
        <v>33</v>
      </c>
      <c r="E454" s="2" t="s">
        <v>17</v>
      </c>
      <c r="F454" s="2" t="s">
        <v>14</v>
      </c>
      <c r="G454" s="2" t="s">
        <v>13</v>
      </c>
      <c r="H454" s="4">
        <v>3453</v>
      </c>
      <c r="I454" s="4">
        <v>3474.21</v>
      </c>
      <c r="J454" s="3">
        <v>7.0000000000000007E-2</v>
      </c>
      <c r="K454" s="4">
        <v>243.19470000000001</v>
      </c>
    </row>
    <row r="455" spans="1:11" x14ac:dyDescent="0.3">
      <c r="A455">
        <v>454</v>
      </c>
      <c r="B455" s="1">
        <v>45760</v>
      </c>
      <c r="C455">
        <v>2025</v>
      </c>
      <c r="D455" s="2" t="s">
        <v>33</v>
      </c>
      <c r="E455" s="2" t="s">
        <v>11</v>
      </c>
      <c r="F455" s="2" t="s">
        <v>20</v>
      </c>
      <c r="G455" s="2" t="s">
        <v>13</v>
      </c>
      <c r="H455" s="4">
        <v>2737</v>
      </c>
      <c r="I455" s="4">
        <v>2571.44</v>
      </c>
      <c r="J455" s="3">
        <v>0.05</v>
      </c>
      <c r="K455" s="4">
        <v>128.572</v>
      </c>
    </row>
    <row r="456" spans="1:11" x14ac:dyDescent="0.3">
      <c r="A456">
        <v>455</v>
      </c>
      <c r="B456" s="1">
        <v>45761</v>
      </c>
      <c r="C456">
        <v>2025</v>
      </c>
      <c r="D456" s="2" t="s">
        <v>33</v>
      </c>
      <c r="E456" s="2" t="s">
        <v>8</v>
      </c>
      <c r="F456" s="2" t="s">
        <v>14</v>
      </c>
      <c r="G456" s="2" t="s">
        <v>13</v>
      </c>
      <c r="H456" s="4">
        <v>2515</v>
      </c>
      <c r="I456" s="4">
        <v>1523.25</v>
      </c>
      <c r="J456" s="3">
        <v>0.04</v>
      </c>
      <c r="K456" s="4">
        <v>60.93</v>
      </c>
    </row>
    <row r="457" spans="1:11" x14ac:dyDescent="0.3">
      <c r="A457">
        <v>456</v>
      </c>
      <c r="B457" s="1">
        <v>45762</v>
      </c>
      <c r="C457">
        <v>2025</v>
      </c>
      <c r="D457" s="2" t="s">
        <v>33</v>
      </c>
      <c r="E457" s="2" t="s">
        <v>8</v>
      </c>
      <c r="F457" s="2" t="s">
        <v>21</v>
      </c>
      <c r="G457" s="2" t="s">
        <v>10</v>
      </c>
      <c r="H457" s="4">
        <v>4000</v>
      </c>
      <c r="I457" s="4">
        <v>4563.3100000000004</v>
      </c>
      <c r="J457" s="3">
        <v>0.04</v>
      </c>
      <c r="K457" s="4">
        <v>182.5324</v>
      </c>
    </row>
    <row r="458" spans="1:11" x14ac:dyDescent="0.3">
      <c r="A458">
        <v>457</v>
      </c>
      <c r="B458" s="1">
        <v>45763</v>
      </c>
      <c r="C458">
        <v>2025</v>
      </c>
      <c r="D458" s="2" t="s">
        <v>33</v>
      </c>
      <c r="E458" s="2" t="s">
        <v>17</v>
      </c>
      <c r="F458" s="2" t="s">
        <v>20</v>
      </c>
      <c r="G458" s="2" t="s">
        <v>10</v>
      </c>
      <c r="H458" s="4">
        <v>4444</v>
      </c>
      <c r="I458" s="4">
        <v>3182.07</v>
      </c>
      <c r="J458" s="3">
        <v>7.0000000000000007E-2</v>
      </c>
      <c r="K458" s="4">
        <v>222.7449</v>
      </c>
    </row>
    <row r="459" spans="1:11" x14ac:dyDescent="0.3">
      <c r="A459">
        <v>458</v>
      </c>
      <c r="B459" s="1">
        <v>45764</v>
      </c>
      <c r="C459">
        <v>2025</v>
      </c>
      <c r="D459" s="2" t="s">
        <v>33</v>
      </c>
      <c r="E459" s="2" t="s">
        <v>8</v>
      </c>
      <c r="F459" s="2" t="s">
        <v>21</v>
      </c>
      <c r="G459" s="2" t="s">
        <v>16</v>
      </c>
      <c r="H459" s="4">
        <v>2038</v>
      </c>
      <c r="I459" s="4">
        <v>2281.7199999999998</v>
      </c>
      <c r="J459" s="3">
        <v>0.04</v>
      </c>
      <c r="K459" s="4">
        <v>91.268799999999999</v>
      </c>
    </row>
    <row r="460" spans="1:11" x14ac:dyDescent="0.3">
      <c r="A460">
        <v>459</v>
      </c>
      <c r="B460" s="1">
        <v>45765</v>
      </c>
      <c r="C460">
        <v>2025</v>
      </c>
      <c r="D460" s="2" t="s">
        <v>33</v>
      </c>
      <c r="E460" s="2" t="s">
        <v>11</v>
      </c>
      <c r="F460" s="2" t="s">
        <v>12</v>
      </c>
      <c r="G460" s="2" t="s">
        <v>19</v>
      </c>
      <c r="H460" s="4">
        <v>2886</v>
      </c>
      <c r="I460" s="4">
        <v>3319.48</v>
      </c>
      <c r="J460" s="3">
        <v>0.05</v>
      </c>
      <c r="K460" s="4">
        <v>165.97399999999999</v>
      </c>
    </row>
    <row r="461" spans="1:11" x14ac:dyDescent="0.3">
      <c r="A461">
        <v>460</v>
      </c>
      <c r="B461" s="1">
        <v>45766</v>
      </c>
      <c r="C461">
        <v>2025</v>
      </c>
      <c r="D461" s="2" t="s">
        <v>33</v>
      </c>
      <c r="E461" s="2" t="s">
        <v>17</v>
      </c>
      <c r="F461" s="2" t="s">
        <v>20</v>
      </c>
      <c r="G461" s="2" t="s">
        <v>16</v>
      </c>
      <c r="H461" s="4">
        <v>4844</v>
      </c>
      <c r="I461" s="4">
        <v>3158.41</v>
      </c>
      <c r="J461" s="3">
        <v>7.0000000000000007E-2</v>
      </c>
      <c r="K461" s="4">
        <v>221.08869999999999</v>
      </c>
    </row>
    <row r="462" spans="1:11" x14ac:dyDescent="0.3">
      <c r="A462">
        <v>461</v>
      </c>
      <c r="B462" s="1">
        <v>45767</v>
      </c>
      <c r="C462">
        <v>2025</v>
      </c>
      <c r="D462" s="2" t="s">
        <v>33</v>
      </c>
      <c r="E462" s="2" t="s">
        <v>11</v>
      </c>
      <c r="F462" s="2" t="s">
        <v>15</v>
      </c>
      <c r="G462" s="2" t="s">
        <v>19</v>
      </c>
      <c r="H462" s="4">
        <v>4204</v>
      </c>
      <c r="I462" s="4">
        <v>2359.91</v>
      </c>
      <c r="J462" s="3">
        <v>0.05</v>
      </c>
      <c r="K462" s="4">
        <v>117.99550000000001</v>
      </c>
    </row>
    <row r="463" spans="1:11" x14ac:dyDescent="0.3">
      <c r="A463">
        <v>462</v>
      </c>
      <c r="B463" s="1">
        <v>45768</v>
      </c>
      <c r="C463">
        <v>2025</v>
      </c>
      <c r="D463" s="2" t="s">
        <v>33</v>
      </c>
      <c r="E463" s="2" t="s">
        <v>11</v>
      </c>
      <c r="F463" s="2" t="s">
        <v>14</v>
      </c>
      <c r="G463" s="2" t="s">
        <v>10</v>
      </c>
      <c r="H463" s="4">
        <v>3098</v>
      </c>
      <c r="I463" s="4">
        <v>3967.8</v>
      </c>
      <c r="J463" s="3">
        <v>0.05</v>
      </c>
      <c r="K463" s="4">
        <v>198.39</v>
      </c>
    </row>
    <row r="464" spans="1:11" x14ac:dyDescent="0.3">
      <c r="A464">
        <v>463</v>
      </c>
      <c r="B464" s="1">
        <v>45769</v>
      </c>
      <c r="C464">
        <v>2025</v>
      </c>
      <c r="D464" s="2" t="s">
        <v>33</v>
      </c>
      <c r="E464" s="2" t="s">
        <v>17</v>
      </c>
      <c r="F464" s="2" t="s">
        <v>9</v>
      </c>
      <c r="G464" s="2" t="s">
        <v>10</v>
      </c>
      <c r="H464" s="4">
        <v>4931</v>
      </c>
      <c r="I464" s="4">
        <v>4732.78</v>
      </c>
      <c r="J464" s="3">
        <v>7.0000000000000007E-2</v>
      </c>
      <c r="K464" s="4">
        <v>331.2946</v>
      </c>
    </row>
    <row r="465" spans="1:11" x14ac:dyDescent="0.3">
      <c r="A465">
        <v>464</v>
      </c>
      <c r="B465" s="1">
        <v>45770</v>
      </c>
      <c r="C465">
        <v>2025</v>
      </c>
      <c r="D465" s="2" t="s">
        <v>33</v>
      </c>
      <c r="E465" s="2" t="s">
        <v>11</v>
      </c>
      <c r="F465" s="2" t="s">
        <v>18</v>
      </c>
      <c r="G465" s="2" t="s">
        <v>10</v>
      </c>
      <c r="H465" s="4">
        <v>3823</v>
      </c>
      <c r="I465" s="4">
        <v>2133.86</v>
      </c>
      <c r="J465" s="3">
        <v>0.05</v>
      </c>
      <c r="K465" s="4">
        <v>106.693</v>
      </c>
    </row>
    <row r="466" spans="1:11" x14ac:dyDescent="0.3">
      <c r="A466">
        <v>465</v>
      </c>
      <c r="B466" s="1">
        <v>45771</v>
      </c>
      <c r="C466">
        <v>2025</v>
      </c>
      <c r="D466" s="2" t="s">
        <v>33</v>
      </c>
      <c r="E466" s="2" t="s">
        <v>8</v>
      </c>
      <c r="F466" s="2" t="s">
        <v>14</v>
      </c>
      <c r="G466" s="2" t="s">
        <v>16</v>
      </c>
      <c r="H466" s="4">
        <v>3710</v>
      </c>
      <c r="I466" s="4">
        <v>5545.95</v>
      </c>
      <c r="J466" s="3">
        <v>0.04</v>
      </c>
      <c r="K466" s="4">
        <v>221.83799999999999</v>
      </c>
    </row>
    <row r="467" spans="1:11" x14ac:dyDescent="0.3">
      <c r="A467">
        <v>466</v>
      </c>
      <c r="B467" s="1">
        <v>45772</v>
      </c>
      <c r="C467">
        <v>2025</v>
      </c>
      <c r="D467" s="2" t="s">
        <v>33</v>
      </c>
      <c r="E467" s="2" t="s">
        <v>11</v>
      </c>
      <c r="F467" s="2" t="s">
        <v>14</v>
      </c>
      <c r="G467" s="2" t="s">
        <v>13</v>
      </c>
      <c r="H467" s="4">
        <v>2973</v>
      </c>
      <c r="I467" s="4">
        <v>1658.28</v>
      </c>
      <c r="J467" s="3">
        <v>0.05</v>
      </c>
      <c r="K467" s="4">
        <v>82.914000000000001</v>
      </c>
    </row>
    <row r="468" spans="1:11" x14ac:dyDescent="0.3">
      <c r="A468">
        <v>467</v>
      </c>
      <c r="B468" s="1">
        <v>45773</v>
      </c>
      <c r="C468">
        <v>2025</v>
      </c>
      <c r="D468" s="2" t="s">
        <v>33</v>
      </c>
      <c r="E468" s="2" t="s">
        <v>17</v>
      </c>
      <c r="F468" s="2" t="s">
        <v>12</v>
      </c>
      <c r="G468" s="2" t="s">
        <v>13</v>
      </c>
      <c r="H468" s="4">
        <v>3562</v>
      </c>
      <c r="I468" s="4">
        <v>4256.72</v>
      </c>
      <c r="J468" s="3">
        <v>7.0000000000000007E-2</v>
      </c>
      <c r="K468" s="4">
        <v>297.97039999999998</v>
      </c>
    </row>
    <row r="469" spans="1:11" x14ac:dyDescent="0.3">
      <c r="A469">
        <v>468</v>
      </c>
      <c r="B469" s="1">
        <v>45774</v>
      </c>
      <c r="C469">
        <v>2025</v>
      </c>
      <c r="D469" s="2" t="s">
        <v>33</v>
      </c>
      <c r="E469" s="2" t="s">
        <v>17</v>
      </c>
      <c r="F469" s="2" t="s">
        <v>15</v>
      </c>
      <c r="G469" s="2" t="s">
        <v>10</v>
      </c>
      <c r="H469" s="4">
        <v>4896</v>
      </c>
      <c r="I469" s="4">
        <v>7264.09</v>
      </c>
      <c r="J469" s="3">
        <v>7.0000000000000007E-2</v>
      </c>
      <c r="K469" s="4">
        <v>508.48630000000003</v>
      </c>
    </row>
    <row r="470" spans="1:11" x14ac:dyDescent="0.3">
      <c r="A470">
        <v>469</v>
      </c>
      <c r="B470" s="1">
        <v>45775</v>
      </c>
      <c r="C470">
        <v>2025</v>
      </c>
      <c r="D470" s="2" t="s">
        <v>33</v>
      </c>
      <c r="E470" s="2" t="s">
        <v>17</v>
      </c>
      <c r="F470" s="2" t="s">
        <v>18</v>
      </c>
      <c r="G470" s="2" t="s">
        <v>13</v>
      </c>
      <c r="H470" s="4">
        <v>4795</v>
      </c>
      <c r="I470" s="4">
        <v>3544.37</v>
      </c>
      <c r="J470" s="3">
        <v>7.0000000000000007E-2</v>
      </c>
      <c r="K470" s="4">
        <v>248.10589999999999</v>
      </c>
    </row>
    <row r="471" spans="1:11" x14ac:dyDescent="0.3">
      <c r="A471">
        <v>470</v>
      </c>
      <c r="B471" s="1">
        <v>45776</v>
      </c>
      <c r="C471">
        <v>2025</v>
      </c>
      <c r="D471" s="2" t="s">
        <v>33</v>
      </c>
      <c r="E471" s="2" t="s">
        <v>11</v>
      </c>
      <c r="F471" s="2" t="s">
        <v>20</v>
      </c>
      <c r="G471" s="2" t="s">
        <v>13</v>
      </c>
      <c r="H471" s="4">
        <v>2988</v>
      </c>
      <c r="I471" s="4">
        <v>1919.04</v>
      </c>
      <c r="J471" s="3">
        <v>0.05</v>
      </c>
      <c r="K471" s="4">
        <v>95.951999999999998</v>
      </c>
    </row>
    <row r="472" spans="1:11" x14ac:dyDescent="0.3">
      <c r="A472">
        <v>471</v>
      </c>
      <c r="B472" s="1">
        <v>45777</v>
      </c>
      <c r="C472">
        <v>2025</v>
      </c>
      <c r="D472" s="2" t="s">
        <v>33</v>
      </c>
      <c r="E472" s="2" t="s">
        <v>17</v>
      </c>
      <c r="F472" s="2" t="s">
        <v>20</v>
      </c>
      <c r="G472" s="2" t="s">
        <v>16</v>
      </c>
      <c r="H472" s="4">
        <v>2020</v>
      </c>
      <c r="I472" s="4">
        <v>1255.2</v>
      </c>
      <c r="J472" s="3">
        <v>7.0000000000000007E-2</v>
      </c>
      <c r="K472" s="4">
        <v>87.864000000000004</v>
      </c>
    </row>
    <row r="473" spans="1:11" x14ac:dyDescent="0.3">
      <c r="A473">
        <v>472</v>
      </c>
      <c r="B473" s="1">
        <v>45778</v>
      </c>
      <c r="C473">
        <v>2025</v>
      </c>
      <c r="D473" s="2" t="s">
        <v>34</v>
      </c>
      <c r="E473" s="2" t="s">
        <v>17</v>
      </c>
      <c r="F473" s="2" t="s">
        <v>20</v>
      </c>
      <c r="G473" s="2" t="s">
        <v>19</v>
      </c>
      <c r="H473" s="4">
        <v>4350</v>
      </c>
      <c r="I473" s="4">
        <v>3494.25</v>
      </c>
      <c r="J473" s="3">
        <v>7.0000000000000007E-2</v>
      </c>
      <c r="K473" s="4">
        <v>244.5975</v>
      </c>
    </row>
    <row r="474" spans="1:11" x14ac:dyDescent="0.3">
      <c r="A474">
        <v>473</v>
      </c>
      <c r="B474" s="1">
        <v>45779</v>
      </c>
      <c r="C474">
        <v>2025</v>
      </c>
      <c r="D474" s="2" t="s">
        <v>34</v>
      </c>
      <c r="E474" s="2" t="s">
        <v>11</v>
      </c>
      <c r="F474" s="2" t="s">
        <v>21</v>
      </c>
      <c r="G474" s="2" t="s">
        <v>10</v>
      </c>
      <c r="H474" s="4">
        <v>2868</v>
      </c>
      <c r="I474" s="4">
        <v>1723.8</v>
      </c>
      <c r="J474" s="3">
        <v>0.05</v>
      </c>
      <c r="K474" s="4">
        <v>86.19</v>
      </c>
    </row>
    <row r="475" spans="1:11" x14ac:dyDescent="0.3">
      <c r="A475">
        <v>474</v>
      </c>
      <c r="B475" s="1">
        <v>45780</v>
      </c>
      <c r="C475">
        <v>2025</v>
      </c>
      <c r="D475" s="2" t="s">
        <v>34</v>
      </c>
      <c r="E475" s="2" t="s">
        <v>8</v>
      </c>
      <c r="F475" s="2" t="s">
        <v>21</v>
      </c>
      <c r="G475" s="2" t="s">
        <v>10</v>
      </c>
      <c r="H475" s="4">
        <v>2083</v>
      </c>
      <c r="I475" s="4">
        <v>2483.27</v>
      </c>
      <c r="J475" s="3">
        <v>0.04</v>
      </c>
      <c r="K475" s="4">
        <v>99.330799999999996</v>
      </c>
    </row>
    <row r="476" spans="1:11" x14ac:dyDescent="0.3">
      <c r="A476">
        <v>475</v>
      </c>
      <c r="B476" s="1">
        <v>45781</v>
      </c>
      <c r="C476">
        <v>2025</v>
      </c>
      <c r="D476" s="2" t="s">
        <v>34</v>
      </c>
      <c r="E476" s="2" t="s">
        <v>11</v>
      </c>
      <c r="F476" s="2" t="s">
        <v>9</v>
      </c>
      <c r="G476" s="2" t="s">
        <v>16</v>
      </c>
      <c r="H476" s="4">
        <v>3682</v>
      </c>
      <c r="I476" s="4">
        <v>2070.36</v>
      </c>
      <c r="J476" s="3">
        <v>0.05</v>
      </c>
      <c r="K476" s="4">
        <v>103.518</v>
      </c>
    </row>
    <row r="477" spans="1:11" x14ac:dyDescent="0.3">
      <c r="A477">
        <v>476</v>
      </c>
      <c r="B477" s="1">
        <v>45782</v>
      </c>
      <c r="C477">
        <v>2025</v>
      </c>
      <c r="D477" s="2" t="s">
        <v>34</v>
      </c>
      <c r="E477" s="2" t="s">
        <v>17</v>
      </c>
      <c r="F477" s="2" t="s">
        <v>18</v>
      </c>
      <c r="G477" s="2" t="s">
        <v>16</v>
      </c>
      <c r="H477" s="4">
        <v>3976</v>
      </c>
      <c r="I477" s="4">
        <v>4013.46</v>
      </c>
      <c r="J477" s="3">
        <v>7.0000000000000007E-2</v>
      </c>
      <c r="K477" s="4">
        <v>280.94220000000001</v>
      </c>
    </row>
    <row r="478" spans="1:11" x14ac:dyDescent="0.3">
      <c r="A478">
        <v>477</v>
      </c>
      <c r="B478" s="1">
        <v>45783</v>
      </c>
      <c r="C478">
        <v>2025</v>
      </c>
      <c r="D478" s="2" t="s">
        <v>34</v>
      </c>
      <c r="E478" s="2" t="s">
        <v>17</v>
      </c>
      <c r="F478" s="2" t="s">
        <v>20</v>
      </c>
      <c r="G478" s="2" t="s">
        <v>13</v>
      </c>
      <c r="H478" s="4">
        <v>3410</v>
      </c>
      <c r="I478" s="4">
        <v>5103.74</v>
      </c>
      <c r="J478" s="3">
        <v>7.0000000000000007E-2</v>
      </c>
      <c r="K478" s="4">
        <v>357.26179999999999</v>
      </c>
    </row>
    <row r="479" spans="1:11" x14ac:dyDescent="0.3">
      <c r="A479">
        <v>478</v>
      </c>
      <c r="B479" s="1">
        <v>45784</v>
      </c>
      <c r="C479">
        <v>2025</v>
      </c>
      <c r="D479" s="2" t="s">
        <v>34</v>
      </c>
      <c r="E479" s="2" t="s">
        <v>11</v>
      </c>
      <c r="F479" s="2" t="s">
        <v>21</v>
      </c>
      <c r="G479" s="2" t="s">
        <v>10</v>
      </c>
      <c r="H479" s="4">
        <v>3530</v>
      </c>
      <c r="I479" s="4">
        <v>4638.32</v>
      </c>
      <c r="J479" s="3">
        <v>0.05</v>
      </c>
      <c r="K479" s="4">
        <v>231.916</v>
      </c>
    </row>
    <row r="480" spans="1:11" x14ac:dyDescent="0.3">
      <c r="A480">
        <v>479</v>
      </c>
      <c r="B480" s="1">
        <v>45785</v>
      </c>
      <c r="C480">
        <v>2025</v>
      </c>
      <c r="D480" s="2" t="s">
        <v>34</v>
      </c>
      <c r="E480" s="2" t="s">
        <v>8</v>
      </c>
      <c r="F480" s="2" t="s">
        <v>9</v>
      </c>
      <c r="G480" s="2" t="s">
        <v>19</v>
      </c>
      <c r="H480" s="4">
        <v>2569</v>
      </c>
      <c r="I480" s="4">
        <v>2865</v>
      </c>
      <c r="J480" s="3">
        <v>0.04</v>
      </c>
      <c r="K480" s="4">
        <v>114.6</v>
      </c>
    </row>
    <row r="481" spans="1:11" x14ac:dyDescent="0.3">
      <c r="A481">
        <v>480</v>
      </c>
      <c r="B481" s="1">
        <v>45786</v>
      </c>
      <c r="C481">
        <v>2025</v>
      </c>
      <c r="D481" s="2" t="s">
        <v>34</v>
      </c>
      <c r="E481" s="2" t="s">
        <v>17</v>
      </c>
      <c r="F481" s="2" t="s">
        <v>15</v>
      </c>
      <c r="G481" s="2" t="s">
        <v>16</v>
      </c>
      <c r="H481" s="4">
        <v>2933</v>
      </c>
      <c r="I481" s="4">
        <v>2364.7399999999998</v>
      </c>
      <c r="J481" s="3">
        <v>7.0000000000000007E-2</v>
      </c>
      <c r="K481" s="4">
        <v>165.5318</v>
      </c>
    </row>
    <row r="482" spans="1:11" x14ac:dyDescent="0.3">
      <c r="A482">
        <v>481</v>
      </c>
      <c r="B482" s="1">
        <v>45787</v>
      </c>
      <c r="C482">
        <v>2025</v>
      </c>
      <c r="D482" s="2" t="s">
        <v>34</v>
      </c>
      <c r="E482" s="2" t="s">
        <v>17</v>
      </c>
      <c r="F482" s="2" t="s">
        <v>9</v>
      </c>
      <c r="G482" s="2" t="s">
        <v>19</v>
      </c>
      <c r="H482" s="4">
        <v>3980</v>
      </c>
      <c r="I482" s="4">
        <v>4473.1099999999997</v>
      </c>
      <c r="J482" s="3">
        <v>7.0000000000000007E-2</v>
      </c>
      <c r="K482" s="4">
        <v>313.11770000000001</v>
      </c>
    </row>
    <row r="483" spans="1:11" x14ac:dyDescent="0.3">
      <c r="A483">
        <v>482</v>
      </c>
      <c r="B483" s="1">
        <v>45788</v>
      </c>
      <c r="C483">
        <v>2025</v>
      </c>
      <c r="D483" s="2" t="s">
        <v>34</v>
      </c>
      <c r="E483" s="2" t="s">
        <v>17</v>
      </c>
      <c r="F483" s="2" t="s">
        <v>21</v>
      </c>
      <c r="G483" s="2" t="s">
        <v>19</v>
      </c>
      <c r="H483" s="4">
        <v>3855</v>
      </c>
      <c r="I483" s="4">
        <v>3959.24</v>
      </c>
      <c r="J483" s="3">
        <v>7.0000000000000007E-2</v>
      </c>
      <c r="K483" s="4">
        <v>277.14679999999998</v>
      </c>
    </row>
    <row r="484" spans="1:11" x14ac:dyDescent="0.3">
      <c r="A484">
        <v>483</v>
      </c>
      <c r="B484" s="1">
        <v>45789</v>
      </c>
      <c r="C484">
        <v>2025</v>
      </c>
      <c r="D484" s="2" t="s">
        <v>34</v>
      </c>
      <c r="E484" s="2" t="s">
        <v>11</v>
      </c>
      <c r="F484" s="2" t="s">
        <v>12</v>
      </c>
      <c r="G484" s="2" t="s">
        <v>10</v>
      </c>
      <c r="H484" s="4">
        <v>2792</v>
      </c>
      <c r="I484" s="4">
        <v>2585.62</v>
      </c>
      <c r="J484" s="3">
        <v>0.05</v>
      </c>
      <c r="K484" s="4">
        <v>129.28100000000001</v>
      </c>
    </row>
    <row r="485" spans="1:11" x14ac:dyDescent="0.3">
      <c r="A485">
        <v>484</v>
      </c>
      <c r="B485" s="1">
        <v>45790</v>
      </c>
      <c r="C485">
        <v>2025</v>
      </c>
      <c r="D485" s="2" t="s">
        <v>34</v>
      </c>
      <c r="E485" s="2" t="s">
        <v>17</v>
      </c>
      <c r="F485" s="2" t="s">
        <v>12</v>
      </c>
      <c r="G485" s="2" t="s">
        <v>10</v>
      </c>
      <c r="H485" s="4">
        <v>2791</v>
      </c>
      <c r="I485" s="4">
        <v>1760.31</v>
      </c>
      <c r="J485" s="3">
        <v>7.0000000000000007E-2</v>
      </c>
      <c r="K485" s="4">
        <v>123.2217</v>
      </c>
    </row>
    <row r="486" spans="1:11" x14ac:dyDescent="0.3">
      <c r="A486">
        <v>485</v>
      </c>
      <c r="B486" s="1">
        <v>45791</v>
      </c>
      <c r="C486">
        <v>2025</v>
      </c>
      <c r="D486" s="2" t="s">
        <v>34</v>
      </c>
      <c r="E486" s="2" t="s">
        <v>8</v>
      </c>
      <c r="F486" s="2" t="s">
        <v>20</v>
      </c>
      <c r="G486" s="2" t="s">
        <v>16</v>
      </c>
      <c r="H486" s="4">
        <v>3809</v>
      </c>
      <c r="I486" s="4">
        <v>5281.58</v>
      </c>
      <c r="J486" s="3">
        <v>0.04</v>
      </c>
      <c r="K486" s="4">
        <v>211.26320000000001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E771-7204-43E3-9489-33F95994211C}">
  <dimension ref="A2:J104"/>
  <sheetViews>
    <sheetView workbookViewId="0">
      <selection activeCell="E21" sqref="E19:F27"/>
    </sheetView>
  </sheetViews>
  <sheetFormatPr defaultRowHeight="14.4" x14ac:dyDescent="0.3"/>
  <cols>
    <col min="1" max="1" width="13.109375" bestFit="1" customWidth="1"/>
    <col min="2" max="2" width="16.6640625" bestFit="1" customWidth="1"/>
    <col min="3" max="3" width="16.77734375" style="7" bestFit="1" customWidth="1"/>
    <col min="4" max="4" width="11.77734375" customWidth="1"/>
    <col min="5" max="5" width="13.109375" bestFit="1" customWidth="1"/>
    <col min="6" max="6" width="23" bestFit="1" customWidth="1"/>
    <col min="7" max="7" width="27.21875" bestFit="1" customWidth="1"/>
    <col min="8" max="9" width="14.21875" bestFit="1" customWidth="1"/>
    <col min="10" max="10" width="15.5546875" bestFit="1" customWidth="1"/>
  </cols>
  <sheetData>
    <row r="2" spans="1:9" x14ac:dyDescent="0.3">
      <c r="A2" t="s">
        <v>42</v>
      </c>
      <c r="C2" t="s">
        <v>43</v>
      </c>
      <c r="E2" t="s">
        <v>44</v>
      </c>
      <c r="F2" t="s">
        <v>45</v>
      </c>
      <c r="G2" t="s">
        <v>46</v>
      </c>
    </row>
    <row r="3" spans="1:9" x14ac:dyDescent="0.3">
      <c r="A3" s="4">
        <v>1651160.7500000019</v>
      </c>
      <c r="C3" s="4">
        <v>1657095</v>
      </c>
      <c r="E3" s="4">
        <v>1657095</v>
      </c>
      <c r="F3" s="4">
        <v>1651160.7500000019</v>
      </c>
      <c r="G3" s="3">
        <v>0.99641888364879616</v>
      </c>
      <c r="I3" s="9"/>
    </row>
    <row r="4" spans="1:9" x14ac:dyDescent="0.3">
      <c r="I4" s="9"/>
    </row>
    <row r="5" spans="1:9" x14ac:dyDescent="0.3">
      <c r="A5" s="5" t="s">
        <v>47</v>
      </c>
      <c r="B5" t="s">
        <v>48</v>
      </c>
      <c r="C5"/>
      <c r="E5" s="5" t="s">
        <v>49</v>
      </c>
      <c r="F5" t="s">
        <v>50</v>
      </c>
    </row>
    <row r="6" spans="1:9" x14ac:dyDescent="0.3">
      <c r="A6" s="6" t="s">
        <v>18</v>
      </c>
      <c r="B6" s="4">
        <v>223389.91999999993</v>
      </c>
      <c r="C6"/>
      <c r="E6" s="6" t="s">
        <v>11</v>
      </c>
      <c r="F6" s="4">
        <v>522918.85000000009</v>
      </c>
    </row>
    <row r="7" spans="1:9" x14ac:dyDescent="0.3">
      <c r="A7" s="6" t="s">
        <v>12</v>
      </c>
      <c r="B7" s="4">
        <v>221673.07</v>
      </c>
      <c r="C7"/>
      <c r="E7" s="6" t="s">
        <v>17</v>
      </c>
      <c r="F7" s="4">
        <v>573299.69999999995</v>
      </c>
    </row>
    <row r="8" spans="1:9" x14ac:dyDescent="0.3">
      <c r="A8" s="6" t="s">
        <v>14</v>
      </c>
      <c r="B8" s="4">
        <v>255284.62</v>
      </c>
      <c r="C8"/>
      <c r="E8" s="6" t="s">
        <v>8</v>
      </c>
      <c r="F8" s="4">
        <v>554942.19999999995</v>
      </c>
      <c r="H8" s="3"/>
    </row>
    <row r="9" spans="1:9" x14ac:dyDescent="0.3">
      <c r="A9" s="6" t="s">
        <v>21</v>
      </c>
      <c r="B9" s="4">
        <v>189501.59</v>
      </c>
      <c r="C9"/>
      <c r="E9" s="6" t="s">
        <v>25</v>
      </c>
      <c r="F9" s="4">
        <v>1651160.75</v>
      </c>
      <c r="H9" s="3"/>
    </row>
    <row r="10" spans="1:9" x14ac:dyDescent="0.3">
      <c r="A10" s="6" t="s">
        <v>9</v>
      </c>
      <c r="B10" s="4">
        <v>231153.02999999997</v>
      </c>
      <c r="C10"/>
    </row>
    <row r="11" spans="1:9" x14ac:dyDescent="0.3">
      <c r="A11" s="6" t="s">
        <v>20</v>
      </c>
      <c r="B11" s="4">
        <v>215547.14999999997</v>
      </c>
      <c r="C11"/>
    </row>
    <row r="12" spans="1:9" x14ac:dyDescent="0.3">
      <c r="A12" s="6" t="s">
        <v>15</v>
      </c>
      <c r="B12" s="4">
        <v>314611.37</v>
      </c>
      <c r="C12"/>
      <c r="E12" s="5" t="s">
        <v>51</v>
      </c>
      <c r="F12" t="s">
        <v>52</v>
      </c>
    </row>
    <row r="13" spans="1:9" x14ac:dyDescent="0.3">
      <c r="A13" s="6" t="s">
        <v>25</v>
      </c>
      <c r="B13" s="4">
        <v>1651160.7499999995</v>
      </c>
      <c r="C13"/>
      <c r="E13" s="6" t="s">
        <v>16</v>
      </c>
      <c r="F13" s="4">
        <v>375482.91999999993</v>
      </c>
    </row>
    <row r="14" spans="1:9" x14ac:dyDescent="0.3">
      <c r="C14"/>
      <c r="E14" s="6" t="s">
        <v>10</v>
      </c>
      <c r="F14" s="4">
        <v>448733.44000000018</v>
      </c>
    </row>
    <row r="15" spans="1:9" x14ac:dyDescent="0.3">
      <c r="E15" s="6" t="s">
        <v>13</v>
      </c>
      <c r="F15" s="4">
        <v>420875.63000000018</v>
      </c>
    </row>
    <row r="16" spans="1:9" x14ac:dyDescent="0.3">
      <c r="E16" s="6" t="s">
        <v>19</v>
      </c>
      <c r="F16" s="4">
        <v>406068.75999999989</v>
      </c>
      <c r="H16" s="9"/>
    </row>
    <row r="17" spans="3:10" x14ac:dyDescent="0.3">
      <c r="E17" s="6" t="s">
        <v>25</v>
      </c>
      <c r="F17" s="4">
        <v>1651160.75</v>
      </c>
      <c r="H17" s="9"/>
    </row>
    <row r="19" spans="3:10" x14ac:dyDescent="0.3">
      <c r="E19" s="5" t="s">
        <v>47</v>
      </c>
      <c r="F19" t="s">
        <v>27</v>
      </c>
    </row>
    <row r="20" spans="3:10" x14ac:dyDescent="0.3">
      <c r="E20" s="6" t="s">
        <v>18</v>
      </c>
      <c r="F20" s="4">
        <v>12583.565199999995</v>
      </c>
    </row>
    <row r="21" spans="3:10" x14ac:dyDescent="0.3">
      <c r="C21"/>
      <c r="E21" s="6" t="s">
        <v>12</v>
      </c>
      <c r="F21" s="4">
        <v>11507.971300000003</v>
      </c>
    </row>
    <row r="22" spans="3:10" x14ac:dyDescent="0.3">
      <c r="C22"/>
      <c r="E22" s="6" t="s">
        <v>14</v>
      </c>
      <c r="F22" s="4">
        <v>13694.422400000001</v>
      </c>
      <c r="J22" s="9"/>
    </row>
    <row r="23" spans="3:10" x14ac:dyDescent="0.3">
      <c r="C23"/>
      <c r="E23" s="6" t="s">
        <v>21</v>
      </c>
      <c r="F23" s="4">
        <v>10382.369400000003</v>
      </c>
    </row>
    <row r="24" spans="3:10" x14ac:dyDescent="0.3">
      <c r="C24"/>
      <c r="E24" s="6" t="s">
        <v>9</v>
      </c>
      <c r="F24" s="4">
        <v>12167.4725</v>
      </c>
    </row>
    <row r="25" spans="3:10" x14ac:dyDescent="0.3">
      <c r="C25"/>
      <c r="E25" s="6" t="s">
        <v>20</v>
      </c>
      <c r="F25" s="4">
        <v>11697.357499999998</v>
      </c>
      <c r="J25" s="9"/>
    </row>
    <row r="26" spans="3:10" x14ac:dyDescent="0.3">
      <c r="C26"/>
      <c r="E26" s="6" t="s">
        <v>15</v>
      </c>
      <c r="F26" s="4">
        <v>16441.451200000003</v>
      </c>
    </row>
    <row r="27" spans="3:10" x14ac:dyDescent="0.3">
      <c r="C27"/>
      <c r="E27" s="6" t="s">
        <v>25</v>
      </c>
      <c r="F27" s="4">
        <v>88474.609499999991</v>
      </c>
    </row>
    <row r="28" spans="3:10" x14ac:dyDescent="0.3">
      <c r="C28"/>
      <c r="J28" s="8"/>
    </row>
    <row r="29" spans="3:10" x14ac:dyDescent="0.3">
      <c r="C29"/>
    </row>
    <row r="30" spans="3:10" x14ac:dyDescent="0.3">
      <c r="C30"/>
    </row>
    <row r="31" spans="3:10" x14ac:dyDescent="0.3">
      <c r="C31"/>
    </row>
    <row r="32" spans="3:10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 spans="3: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58" spans="3:3" x14ac:dyDescent="0.3">
      <c r="C58"/>
    </row>
    <row r="59" spans="3:3" x14ac:dyDescent="0.3">
      <c r="C59"/>
    </row>
    <row r="60" spans="3:3" x14ac:dyDescent="0.3">
      <c r="C60"/>
    </row>
    <row r="61" spans="3:3" x14ac:dyDescent="0.3">
      <c r="C61"/>
    </row>
    <row r="62" spans="3:3" x14ac:dyDescent="0.3">
      <c r="C62"/>
    </row>
    <row r="63" spans="3:3" x14ac:dyDescent="0.3">
      <c r="C63"/>
    </row>
    <row r="64" spans="3: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  <row r="85" spans="3:3" x14ac:dyDescent="0.3">
      <c r="C85"/>
    </row>
    <row r="86" spans="3:3" x14ac:dyDescent="0.3">
      <c r="C86"/>
    </row>
    <row r="87" spans="3:3" x14ac:dyDescent="0.3">
      <c r="C87"/>
    </row>
    <row r="88" spans="3:3" x14ac:dyDescent="0.3">
      <c r="C88"/>
    </row>
    <row r="89" spans="3:3" x14ac:dyDescent="0.3">
      <c r="C89"/>
    </row>
    <row r="90" spans="3:3" x14ac:dyDescent="0.3">
      <c r="C90"/>
    </row>
    <row r="91" spans="3:3" x14ac:dyDescent="0.3">
      <c r="C91"/>
    </row>
    <row r="92" spans="3:3" x14ac:dyDescent="0.3">
      <c r="C92"/>
    </row>
    <row r="93" spans="3:3" x14ac:dyDescent="0.3">
      <c r="C93"/>
    </row>
    <row r="94" spans="3:3" x14ac:dyDescent="0.3">
      <c r="C94"/>
    </row>
    <row r="95" spans="3:3" x14ac:dyDescent="0.3">
      <c r="C95"/>
    </row>
    <row r="96" spans="3:3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</sheetData>
  <pageMargins left="0.511811024" right="0.511811024" top="0.78740157499999996" bottom="0.78740157499999996" header="0.31496062000000002" footer="0.31496062000000002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6563-33D7-406E-BC72-29F4B3E1A1F8}">
  <dimension ref="B3:L38"/>
  <sheetViews>
    <sheetView tabSelected="1" workbookViewId="0">
      <selection activeCell="K32" sqref="K32"/>
    </sheetView>
  </sheetViews>
  <sheetFormatPr defaultColWidth="0" defaultRowHeight="14.4" x14ac:dyDescent="0.3"/>
  <cols>
    <col min="1" max="1" width="8.88671875" style="11" customWidth="1"/>
    <col min="2" max="2" width="11.88671875" style="11" customWidth="1"/>
    <col min="3" max="5" width="8.88671875" style="11" customWidth="1"/>
    <col min="6" max="6" width="15.5546875" style="11" bestFit="1" customWidth="1"/>
    <col min="7" max="19" width="8.88671875" style="11" customWidth="1"/>
    <col min="20" max="16384" width="8.88671875" style="11" hidden="1"/>
  </cols>
  <sheetData>
    <row r="3" spans="2:12" x14ac:dyDescent="0.3">
      <c r="B3" s="10">
        <f>GETPIVOTDATA("Vendas_Realizadas",KPIS!$A$2)</f>
        <v>1651160.7500000019</v>
      </c>
    </row>
    <row r="4" spans="2:12" x14ac:dyDescent="0.3">
      <c r="F4" s="12">
        <f>GETPIVOTDATA("Meta",KPIS!$C$2)</f>
        <v>1657095</v>
      </c>
      <c r="L4" s="13">
        <f>GETPIVOTDATA("Porcentagem de Atingimento %",KPIS!$E$2)</f>
        <v>0.99641888364879616</v>
      </c>
    </row>
    <row r="17" s="11" customFormat="1" x14ac:dyDescent="0.3"/>
    <row r="18" s="11" customFormat="1" x14ac:dyDescent="0.3"/>
    <row r="19" s="11" customFormat="1" x14ac:dyDescent="0.3"/>
    <row r="20" s="11" customFormat="1" x14ac:dyDescent="0.3"/>
    <row r="21" s="11" customFormat="1" x14ac:dyDescent="0.3"/>
    <row r="22" s="11" customFormat="1" x14ac:dyDescent="0.3"/>
    <row r="23" s="11" customFormat="1" x14ac:dyDescent="0.3"/>
    <row r="24" s="11" customFormat="1" x14ac:dyDescent="0.3"/>
    <row r="25" s="11" customFormat="1" x14ac:dyDescent="0.3"/>
    <row r="26" s="11" customFormat="1" x14ac:dyDescent="0.3"/>
    <row r="27" s="11" customFormat="1" x14ac:dyDescent="0.3"/>
    <row r="28" s="11" customFormat="1" x14ac:dyDescent="0.3"/>
    <row r="29" s="11" customFormat="1" x14ac:dyDescent="0.3"/>
    <row r="30" s="11" customFormat="1" x14ac:dyDescent="0.3"/>
    <row r="31" s="11" customFormat="1" x14ac:dyDescent="0.3"/>
    <row r="32" s="11" customFormat="1" x14ac:dyDescent="0.3"/>
    <row r="33" s="11" customFormat="1" x14ac:dyDescent="0.3"/>
    <row r="34" s="11" customFormat="1" x14ac:dyDescent="0.3"/>
    <row r="35" s="11" customFormat="1" x14ac:dyDescent="0.3"/>
    <row r="36" s="11" customFormat="1" x14ac:dyDescent="0.3"/>
    <row r="37" s="11" customFormat="1" x14ac:dyDescent="0.3"/>
    <row r="38" s="11" customFormat="1" x14ac:dyDescent="0.3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1EF6F3-977D-4D93-A41F-57792E1B2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Brutos</vt:lpstr>
      <vt:lpstr>Power Query1</vt:lpstr>
      <vt:lpstr>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Passos</dc:creator>
  <cp:lastModifiedBy>Felipe Passos</cp:lastModifiedBy>
  <dcterms:created xsi:type="dcterms:W3CDTF">2026-04-19T02:15:18Z</dcterms:created>
  <dcterms:modified xsi:type="dcterms:W3CDTF">2026-04-21T23:10:13Z</dcterms:modified>
</cp:coreProperties>
</file>